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Historical" sheetId="3" state="visible" r:id="rId5"/>
    <sheet name="Model" sheetId="4" state="visible" r:id="rId6"/>
    <sheet name="DCF" sheetId="5" state="visible" r:id="rId7"/>
    <sheet name="Sensitivity" sheetId="6" state="visible" r:id="rId8"/>
    <sheet name="Comp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<sst xmlns="http://schemas.openxmlformats.org/spreadsheetml/2006/main" count="517" uniqueCount="427">
  <si>
    <t xml:space="preserve">Britannia Industries Ltd (NSE: BRITANNIA) - Three-statement model and DCF</t>
  </si>
  <si>
    <t xml:space="preserve">Consolidated financials, Rs crore, fiscal year ending 31 March. Prepared 19-Oct-2026. Educational / portfolio project - not investment advice.</t>
  </si>
  <si>
    <t xml:space="preserve">KEY OUTPUTS</t>
  </si>
  <si>
    <t xml:space="preserve">Active scenario (change on Assumptions sheet)</t>
  </si>
  <si>
    <t xml:space="preserve">DCF value per share (Rs)</t>
  </si>
  <si>
    <t xml:space="preserve">Current share price (Rs)</t>
  </si>
  <si>
    <t xml:space="preserve">DCF value vs current price</t>
  </si>
  <si>
    <t xml:space="preserve">WACC</t>
  </si>
  <si>
    <t xml:space="preserve">Terminal growth used</t>
  </si>
  <si>
    <t xml:space="preserve">Terminal growth implied by current price</t>
  </si>
  <si>
    <t xml:space="preserve">Terminal value as % of EV</t>
  </si>
  <si>
    <t xml:space="preserve">Market EV / EBITDA FY27E</t>
  </si>
  <si>
    <t xml:space="preserve">Market P/E FY27E</t>
  </si>
  <si>
    <t xml:space="preserve">VALUATION RANGE SUMMARY (Rs per share)</t>
  </si>
  <si>
    <t xml:space="preserve">Low</t>
  </si>
  <si>
    <t xml:space="preserve">High</t>
  </si>
  <si>
    <t xml:space="preserve">DCF (WACC +/- 0.5%, terminal growth +/- 0.5%)</t>
  </si>
  <si>
    <t xml:space="preserve">Peer P/E x Britannia TTM EPS (low to high)</t>
  </si>
  <si>
    <t xml:space="preserve">52-week trading range</t>
  </si>
  <si>
    <t xml:space="preserve">MODEL INTEGRITY CHECKS</t>
  </si>
  <si>
    <t xml:space="preserve">Historical statements tie to reported totals</t>
  </si>
  <si>
    <t xml:space="preserve">Balance sheet balances in every year (hist. + forecast)</t>
  </si>
  <si>
    <t xml:space="preserve">Sensitivity centre cell equals DCF value</t>
  </si>
  <si>
    <t xml:space="preserve">Forecast closing cash equals balance sheet cash</t>
  </si>
  <si>
    <t xml:space="preserve">HOW THE WORKBOOK IS ORGANISED</t>
  </si>
  <si>
    <t xml:space="preserve">Assumptions - every driver, scenario switch and market input (blue cells). Change these and everything flows through.</t>
  </si>
  <si>
    <t xml:space="preserve">Historical - FY24A-FY26A consolidated statements typed in from Britannia audited results, with tie-outs to reported totals.</t>
  </si>
  <si>
    <t xml:space="preserve">Model - income statement, balance sheet and cash flow, linked: net profit -&gt; equity, working-capital and capex -&gt; cash, cash -&gt; balance sheet.</t>
  </si>
  <si>
    <t xml:space="preserve">DCF - WACC, unlevered free cash flow (10 years), terminal value, equity bridge, reverse DCF and implied multiples.</t>
  </si>
  <si>
    <t xml:space="preserve">Sensitivity - value per share across WACC and terminal growth. Comps - peer P/E cross-check.</t>
  </si>
  <si>
    <t xml:space="preserve">COLOUR CODE</t>
  </si>
  <si>
    <t xml:space="preserve">Blue text = hard-coded input</t>
  </si>
  <si>
    <t xml:space="preserve">Black text = formula</t>
  </si>
  <si>
    <t xml:space="preserve">Green text = link to another sheet</t>
  </si>
  <si>
    <t xml:space="preserve">Yellow fill = key assumption / headline output</t>
  </si>
  <si>
    <t xml:space="preserve">SOURCES</t>
  </si>
  <si>
    <t xml:space="preserve">Britannia Industries - Audited Consolidated Financial Results, year ended 31-Mar-2026 (media.britannia.co.in; approved 7-May-2026): FY26 and FY25.</t>
  </si>
  <si>
    <t xml:space="preserve">Britannia Industries - Audited Consolidated Financial Results, year ended 31-Mar-2025 (media.britannia.co.in; approved 8-May-2025): FY24 comparatives.</t>
  </si>
  <si>
    <t xml:space="preserve">Share price, market cap, 52-week range, TTM EPS: Screener.in (16-Oct-2026). Risk-free rate: Trading Economics (India 10-year G-Sec, Sep 2026).</t>
  </si>
  <si>
    <t xml:space="preserve">Peer multiples: Upstox peer table (page dated 27-Jul-2026). Beta references: Equentis stock pages (HUL c.0.6, Nestle India c.0.4).</t>
  </si>
  <si>
    <t xml:space="preserve">KEY LIMITATIONS</t>
  </si>
  <si>
    <t xml:space="preserve">Forecast drivers, scenarios, beta, ERP and terminal growth are the modeller's assumptions, not company guidance or consensus.</t>
  </si>
  <si>
    <t xml:space="preserve">The balance sheet date is 31-Mar-2026; cash generated and dividends paid since then are not reflected in the equity bridge.</t>
  </si>
  <si>
    <t xml:space="preserve">FY25 cash-flow comparatives were regrouped by the company in the FY26 filing; FY24 uses the original FY25 filing presentation.</t>
  </si>
  <si>
    <t xml:space="preserve">Forecast cash flow is a simplified indirect build (interest inside net profit); historical cash flows are shown as reported.</t>
  </si>
  <si>
    <t xml:space="preserve">Assumptions and drivers</t>
  </si>
  <si>
    <t xml:space="preserve">All forecast drivers live here. Blue = input (edit these). FY24A-FY26A columns show actual ratios for reference.</t>
  </si>
  <si>
    <t xml:space="preserve">Driver</t>
  </si>
  <si>
    <t xml:space="preserve">FY24A</t>
  </si>
  <si>
    <t xml:space="preserve">FY25A</t>
  </si>
  <si>
    <t xml:space="preserve">FY26A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</si>
  <si>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</si>
  <si>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</si>
  <si>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</si>
  <si>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</si>
  <si>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</si>
  <si>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FY32E</t>
  </si>
  <si>
    <t xml:space="preserve">FY33E</t>
  </si>
  <si>
    <t xml:space="preserve">FY34E</t>
  </si>
  <si>
    <t xml:space="preserve">FY35E</t>
  </si>
  <si>
    <t xml:space="preserve">FY36E</t>
  </si>
  <si>
    <t xml:space="preserve">Basis / source</t>
  </si>
  <si>
    <t xml:space="preserve">Sale of goods growth - BASE case (YoY)</t>
  </si>
  <si>
    <t xml:space="preserve">Assumption. FY26A +7.5%. Fades toward terminal growth. Scenario adjustment (below) is added on top. Broker FY27E-28E growth is c.11%.</t>
  </si>
  <si>
    <t xml:space="preserve">Other operating revenues (% of sale of goods)</t>
  </si>
  <si>
    <t xml:space="preserve">Assumption = FY26A level.</t>
  </si>
  <si>
    <t xml:space="preserve">COGS (% of sale of goods) - BASE case</t>
  </si>
  <si>
    <t xml:space="preserve">Assumption. FY26A 59.0%; modest mix / premiumisation benefit, then flat. Scenario adjustment added on top.</t>
  </si>
  <si>
    <t xml:space="preserve">Employee cost (% of total revenue)</t>
  </si>
  <si>
    <t xml:space="preserve">Assumption. FY26A 4.3% incl. one-off labour-code charge.</t>
  </si>
  <si>
    <t xml:space="preserve">Other expenses (% of total revenue)</t>
  </si>
  <si>
    <t xml:space="preserve">Assumption. FY26A 19.1%.</t>
  </si>
  <si>
    <t xml:space="preserve">D&amp;A (% of opening net fixed assets)</t>
  </si>
  <si>
    <t xml:space="preserve">Assumption. FY26A 11.3%.</t>
  </si>
  <si>
    <t xml:space="preserve">Capex (% of total revenue)</t>
  </si>
  <si>
    <t xml:space="preserve">Assumption. FY24A 3.3%, FY25A 2.1%, FY26A 1.1% (below normal).</t>
  </si>
  <si>
    <t xml:space="preserve">Other income yield (% of opening cash + investments + other treasury)</t>
  </si>
  <si>
    <t xml:space="preserve">Assumption. FY25A 7.1%, FY26A 8.1% (incl. fair-value gains).</t>
  </si>
  <si>
    <t xml:space="preserve">Finance cost rate (% of opening borrowings)</t>
  </si>
  <si>
    <t xml:space="preserve">Assumption.</t>
  </si>
  <si>
    <t xml:space="preserve">Share of profit / (loss) of associates (Rs crore)</t>
  </si>
  <si>
    <t xml:space="preserve">Assumption. FY25A -10.7, FY26A -30.1.</t>
  </si>
  <si>
    <t xml:space="preserve">Effective tax rate (% of PBT)</t>
  </si>
  <si>
    <t xml:space="preserve">Assumption = c.25.2% statutory rate for Indian companies. FY26A 22.9% was flattered by a Rs 95 cr one-off provision reversal.</t>
  </si>
  <si>
    <t xml:space="preserve">Non-controlling interest in profit (Rs crore)</t>
  </si>
  <si>
    <t xml:space="preserve">Assumption (immaterial).</t>
  </si>
  <si>
    <t xml:space="preserve">Inventory days (on COGS)</t>
  </si>
  <si>
    <t xml:space="preserve">Assumption = FY26A.</t>
  </si>
  <si>
    <t xml:space="preserve">Receivable days (on total revenue)</t>
  </si>
  <si>
    <t xml:space="preserve">Payable days (on COGS + other expenses)</t>
  </si>
  <si>
    <t xml:space="preserve">Other operating assets (% of total revenue)</t>
  </si>
  <si>
    <t xml:space="preserve">Other operating liabilities (% of total revenue)</t>
  </si>
  <si>
    <t xml:space="preserve">Net purchases of financial investments (Rs crore)</t>
  </si>
  <si>
    <t xml:space="preserve">Assumption: treasury portfolio held flat; surplus cash accumulates in cash.</t>
  </si>
  <si>
    <t xml:space="preserve">Net borrowings drawn / (repaid) (Rs crore)</t>
  </si>
  <si>
    <t xml:space="preserve">Assumption: debt held flat.</t>
  </si>
  <si>
    <t xml:space="preserve">Dividends paid (% of prior-year net profit)</t>
  </si>
  <si>
    <t xml:space="preserve">Assumption. FY26A paid 82.8% of FY25 profit; Board recommended Rs 90.50/share final dividend for FY26 (c.86% of FY26 profit).</t>
  </si>
  <si>
    <t xml:space="preserve">SCENARIO SWITCH (applies to every forecast year)</t>
  </si>
  <si>
    <t xml:space="preserve">Active scenario (1 = Bear, 2 = Base, 3 = Bull)</t>
  </si>
  <si>
    <t xml:space="preserve">Change B to 1, 2 or 3; every sheet updates.</t>
  </si>
  <si>
    <t xml:space="preserve">Scenario table</t>
  </si>
  <si>
    <t xml:space="preserve">Bear</t>
  </si>
  <si>
    <t xml:space="preserve">Base</t>
  </si>
  <si>
    <t xml:space="preserve">Bull</t>
  </si>
  <si>
    <t xml:space="preserve">Sale of goods growth adjustment (added to base, each year)</t>
  </si>
  <si>
    <t xml:space="preserve">Assumption. Bear: slower volume/pricing. Bull: closer to broker FY27E-28E growth (c.11%).</t>
  </si>
  <si>
    <t xml:space="preserve">COGS (% of sale of goods) adjustment (added to base, each year)</t>
  </si>
  <si>
    <t xml:space="preserve">Assumption. Bear: input-cost pressure. Bull: mix / operating leverage.</t>
  </si>
  <si>
    <t xml:space="preserve">Live growth adjustment</t>
  </si>
  <si>
    <t xml:space="preserve">Live COGS adjustment</t>
  </si>
  <si>
    <t xml:space="preserve">VALUATION AND MARKET INPUTS</t>
  </si>
  <si>
    <t xml:space="preserve">Valuation date</t>
  </si>
  <si>
    <t xml:space="preserve">Date of this analysis.</t>
  </si>
  <si>
    <t xml:space="preserve">First forecast year-end (FY27E)</t>
  </si>
  <si>
    <t xml:space="preserve">Fiscal year ends 31 March.</t>
  </si>
  <si>
    <t xml:space="preserve">NSE close on 16-Oct-2026 per Screener.in. UPDATE before presenting.</t>
  </si>
  <si>
    <t xml:space="preserve">Face value per share (Rs)</t>
  </si>
  <si>
    <t xml:space="preserve">Per filing.</t>
  </si>
  <si>
    <t xml:space="preserve">Shares outstanding (crore)</t>
  </si>
  <si>
    <t xml:space="preserve">Equity share capital Rs 24.09 cr / face value Re 1 = 24.09 crore shares.</t>
  </si>
  <si>
    <t xml:space="preserve">Risk-free rate (India 10-year G-Sec yield)</t>
  </si>
  <si>
    <t xml:space="preserve">c.7.1% in late Sep 2026 (Trading Economics). UPDATE.</t>
  </si>
  <si>
    <t xml:space="preserve">Equity beta</t>
  </si>
  <si>
    <t xml:space="preserve">ASSUMPTION. Indian staples betas are low (HUL c.0.6, Nestle India c.0.4 on Equentis). Verify on Bloomberg / NSE.</t>
  </si>
  <si>
    <t xml:space="preserve">Equity risk premium</t>
  </si>
  <si>
    <t xml:space="preserve">ASSUMPTION. Typical range used for India: 5.0%-6.5%.</t>
  </si>
  <si>
    <t xml:space="preserve">Pre-tax cost of debt</t>
  </si>
  <si>
    <t xml:space="preserve">ASSUMPTION. Britannia is AAA-rated by CRISIL; borrowings are mostly short-term.</t>
  </si>
  <si>
    <t xml:space="preserve">Terminal growth rate</t>
  </si>
  <si>
    <t xml:space="preserve">ASSUMPTION. Below long-run nominal GDP growth; staples DCFs typically use 5%-6%.</t>
  </si>
  <si>
    <t xml:space="preserve">Mid-year discounting (1 = on, 0 = off)</t>
  </si>
  <si>
    <t xml:space="preserve">Cash flows assumed to arrive evenly through the year.</t>
  </si>
  <si>
    <t xml:space="preserve">Britannia TTM EPS to Jun-2026 (Rs)</t>
  </si>
  <si>
    <t xml:space="preserve">Screener.in (TTM to June 2026).</t>
  </si>
  <si>
    <t xml:space="preserve">52-week low (Rs)</t>
  </si>
  <si>
    <t xml:space="preserve">Screener.in as of 16-Oct-2026.</t>
  </si>
  <si>
    <t xml:space="preserve">52-week high (Rs)</t>
  </si>
  <si>
    <t xml:space="preserve">Britannia Industries Ltd (NSE: BRITANNIA) - Historical financials (as reported)</t>
  </si>
  <si>
    <t xml:space="preserve">Consolidated, Rs crore, year ended 31 March. Blue = hard-coded from filings; black = formula.</t>
  </si>
  <si>
    <t xml:space="preserve">₹ Crore</t>
  </si>
  <si>
    <t xml:space="preserve">Source / note</t>
  </si>
  <si>
    <t xml:space="preserve">INCOME STATEMENT</t>
  </si>
  <si>
    <t xml:space="preserve">Sale of goods</t>
  </si>
  <si>
    <t xml:space="preserve">Britannia audited consolidated results 31-Mar-2026 (filed 7-May-2026) - FY26 and FY25 comparatives; FY24 from Britannia audited consolidated results 31-Mar-2025 (filed 8-May-2025) - FY24 comparatives</t>
  </si>
  <si>
    <t xml:space="preserve">Other operating revenues</t>
  </si>
  <si>
    <t xml:space="preserve">Total revenue from operations</t>
  </si>
  <si>
    <t xml:space="preserve">Other income</t>
  </si>
  <si>
    <t xml:space="preserve">Cost of materials consumed</t>
  </si>
  <si>
    <t xml:space="preserve">Purchases of stock-in-trade</t>
  </si>
  <si>
    <t xml:space="preserve">Changes in inventories of FG, stock-in-trade and WIP</t>
  </si>
  <si>
    <t xml:space="preserve">Employee benefits expense</t>
  </si>
  <si>
    <t xml:space="preserve">FY26 includes Rs 48.56 cr one-off past service cost on New Labour Codes (per filing note)</t>
  </si>
  <si>
    <t xml:space="preserve">Finance costs</t>
  </si>
  <si>
    <t xml:space="preserve">Depreciation and amortisation</t>
  </si>
  <si>
    <t xml:space="preserve">Other expenses</t>
  </si>
  <si>
    <t xml:space="preserve">Total expenses</t>
  </si>
  <si>
    <t xml:space="preserve">Profit before share of associates / JV</t>
  </si>
  <si>
    <t xml:space="preserve">Share of profit / (loss) of associates and JV</t>
  </si>
  <si>
    <t xml:space="preserve">Exceptional item - expense</t>
  </si>
  <si>
    <t xml:space="preserve">FY25: Voluntary Retirement Scheme cost at one factory (per filing note)</t>
  </si>
  <si>
    <t xml:space="preserve">Profit before tax</t>
  </si>
  <si>
    <t xml:space="preserve">Current tax</t>
  </si>
  <si>
    <t xml:space="preserve">FY26 includes net reversal of provisions of Rs 95.39 cr (favourable tax orders)</t>
  </si>
  <si>
    <t xml:space="preserve">Deferred tax charge / (credit)</t>
  </si>
  <si>
    <t xml:space="preserve">Total tax expense</t>
  </si>
  <si>
    <t xml:space="preserve">Net profit for the year</t>
  </si>
  <si>
    <t xml:space="preserve">of which: non-controlling interests</t>
  </si>
  <si>
    <t xml:space="preserve">of which: owners of the company</t>
  </si>
  <si>
    <t xml:space="preserve">Basic EPS as reported (Rs)</t>
  </si>
  <si>
    <t xml:space="preserve">BALANCE SHEET - ASSETS</t>
  </si>
  <si>
    <t xml:space="preserve">Property, plant and equipment</t>
  </si>
  <si>
    <t xml:space="preserve">Britannia audited consolidated results 31-Mar-2026 (filed 7-May-2026) - FY26 and FY25 comparatives. Column order in the PDF text was scrambled; every line reconciled to reported sub-totals (see tie-out).</t>
  </si>
  <si>
    <t xml:space="preserve">Capital work-in-progress</t>
  </si>
  <si>
    <t xml:space="preserve">Investment property</t>
  </si>
  <si>
    <t xml:space="preserve">Goodwill</t>
  </si>
  <si>
    <t xml:space="preserve">Other intangible assets</t>
  </si>
  <si>
    <t xml:space="preserve">Investment in associates and JV</t>
  </si>
  <si>
    <t xml:space="preserve">Non-current investments</t>
  </si>
  <si>
    <t xml:space="preserve">Non-current loans</t>
  </si>
  <si>
    <t xml:space="preserve">Other non-current financial assets</t>
  </si>
  <si>
    <t xml:space="preserve">Deferred tax assets (net)</t>
  </si>
  <si>
    <t xml:space="preserve">Tax assets (net)</t>
  </si>
  <si>
    <t xml:space="preserve">Other non-current assets</t>
  </si>
  <si>
    <t xml:space="preserve">Total non-current assets</t>
  </si>
  <si>
    <t xml:space="preserve">Inventories</t>
  </si>
  <si>
    <t xml:space="preserve">Current investments</t>
  </si>
  <si>
    <t xml:space="preserve">Trade receivables</t>
  </si>
  <si>
    <t xml:space="preserve">Cash and cash equivalents</t>
  </si>
  <si>
    <t xml:space="preserve">Other bank balances</t>
  </si>
  <si>
    <t xml:space="preserve">Current loans</t>
  </si>
  <si>
    <t xml:space="preserve">Other current financial assets</t>
  </si>
  <si>
    <t xml:space="preserve">Other current assets</t>
  </si>
  <si>
    <t xml:space="preserve">Assets held for sale</t>
  </si>
  <si>
    <t xml:space="preserve">Total current assets</t>
  </si>
  <si>
    <t xml:space="preserve">TOTAL ASSETS</t>
  </si>
  <si>
    <t xml:space="preserve">BALANCE SHEET - EQUITY AND LIABILITIES</t>
  </si>
  <si>
    <t xml:space="preserve">Equity share capital (face value Re 1)</t>
  </si>
  <si>
    <t xml:space="preserve">Other equity</t>
  </si>
  <si>
    <t xml:space="preserve">Non-controlling interests</t>
  </si>
  <si>
    <t xml:space="preserve">Total equity</t>
  </si>
  <si>
    <t xml:space="preserve">Non-current borrowings</t>
  </si>
  <si>
    <t xml:space="preserve">Non-current lease liabilities</t>
  </si>
  <si>
    <t xml:space="preserve">Other non-current financial liabilities</t>
  </si>
  <si>
    <t xml:space="preserve">Deferred tax liabilities (net)</t>
  </si>
  <si>
    <t xml:space="preserve">Non-current provisions</t>
  </si>
  <si>
    <t xml:space="preserve">Total non-current liabilities</t>
  </si>
  <si>
    <t xml:space="preserve">Current borrowings</t>
  </si>
  <si>
    <t xml:space="preserve">Current lease liabilities</t>
  </si>
  <si>
    <t xml:space="preserve">Trade payables - MSME</t>
  </si>
  <si>
    <t xml:space="preserve">Trade payables - others</t>
  </si>
  <si>
    <t xml:space="preserve">Other current financial liabilities</t>
  </si>
  <si>
    <t xml:space="preserve">Other current liabilities</t>
  </si>
  <si>
    <t xml:space="preserve">Current provisions</t>
  </si>
  <si>
    <t xml:space="preserve">Current tax liabilities (net)</t>
  </si>
  <si>
    <t xml:space="preserve">Total current liabilities</t>
  </si>
  <si>
    <t xml:space="preserve">TOTAL EQUITY AND LIABILITIES</t>
  </si>
  <si>
    <t xml:space="preserve">CASH FLOW STATEMENT</t>
  </si>
  <si>
    <t xml:space="preserve">Profit before tax and share of associates (after exceptionals)</t>
  </si>
  <si>
    <t xml:space="preserve">FY25 and FY26 per FY26 filing (FY25 comparatives regrouped); FY24 as originally reported in FY25 filing</t>
  </si>
  <si>
    <t xml:space="preserve">Net gain on financial assets at FVTPL</t>
  </si>
  <si>
    <t xml:space="preserve">Profit on sale of PPE</t>
  </si>
  <si>
    <t xml:space="preserve">Interest income</t>
  </si>
  <si>
    <t xml:space="preserve">Operating profit before working capital changes</t>
  </si>
  <si>
    <t xml:space="preserve">Change in inventories</t>
  </si>
  <si>
    <t xml:space="preserve">Change in trade receivables</t>
  </si>
  <si>
    <t xml:space="preserve">Change in other financial and other assets</t>
  </si>
  <si>
    <t xml:space="preserve">Change in payables, other liabilities and provisions</t>
  </si>
  <si>
    <t xml:space="preserve">Cash generated from operations</t>
  </si>
  <si>
    <t xml:space="preserve">Income tax paid (net of refunds)</t>
  </si>
  <si>
    <t xml:space="preserve">Net cash from operating activities</t>
  </si>
  <si>
    <t xml:space="preserve">Acquisition of PPE, CWIP and intangibles (capex)</t>
  </si>
  <si>
    <t xml:space="preserve">Proceeds from sale of PPE</t>
  </si>
  <si>
    <t xml:space="preserve">Purchase of non-current investments</t>
  </si>
  <si>
    <t xml:space="preserve">Sale / redemption of non-current investments</t>
  </si>
  <si>
    <t xml:space="preserve">Purchase / sale of current investments (net)</t>
  </si>
  <si>
    <t xml:space="preserve">Inter-corporate deposits placed</t>
  </si>
  <si>
    <t xml:space="preserve">Inter-corporate deposits redeemed</t>
  </si>
  <si>
    <t xml:space="preserve">Change in other bank balances and deposits</t>
  </si>
  <si>
    <t xml:space="preserve">Interest received</t>
  </si>
  <si>
    <t xml:space="preserve">Net cash from investing activities</t>
  </si>
  <si>
    <t xml:space="preserve">Interest paid</t>
  </si>
  <si>
    <t xml:space="preserve">Principal payment of lease liabilities</t>
  </si>
  <si>
    <t xml:space="preserve">Interest paid on lease liabilities</t>
  </si>
  <si>
    <t xml:space="preserve">Repayment of non-current borrowings</t>
  </si>
  <si>
    <t xml:space="preserve">Proceeds from non-current borrowings</t>
  </si>
  <si>
    <t xml:space="preserve">Repayment of bonus debentures</t>
  </si>
  <si>
    <t xml:space="preserve">Working capital borrowings (net)</t>
  </si>
  <si>
    <t xml:space="preserve">Contribution from non-controlling interest</t>
  </si>
  <si>
    <t xml:space="preserve">Dividends paid</t>
  </si>
  <si>
    <t xml:space="preserve">Net cash from financing activities</t>
  </si>
  <si>
    <t xml:space="preserve">Net change in cash</t>
  </si>
  <si>
    <t xml:space="preserve">Effect of exchange rate changes</t>
  </si>
  <si>
    <t xml:space="preserve">Cash at beginning of year (net of overdraft)</t>
  </si>
  <si>
    <t xml:space="preserve">Cash at end of year (net of overdraft)</t>
  </si>
  <si>
    <t xml:space="preserve">TIE-OUT TO REPORTED TOTALS (differences should be zero)</t>
  </si>
  <si>
    <t xml:space="preserve">Reported: Total revenue from operations</t>
  </si>
  <si>
    <t xml:space="preserve">  Difference vs model build-up</t>
  </si>
  <si>
    <t xml:space="preserve">Reported: Total expenses</t>
  </si>
  <si>
    <t xml:space="preserve">Reported: Profit before tax</t>
  </si>
  <si>
    <t xml:space="preserve">Reported: Net profit</t>
  </si>
  <si>
    <t xml:space="preserve">Reported: Total non-current assets</t>
  </si>
  <si>
    <t xml:space="preserve">Reported: Total current assets</t>
  </si>
  <si>
    <t xml:space="preserve">Reported: Total assets</t>
  </si>
  <si>
    <t xml:space="preserve">Reported: Total equity</t>
  </si>
  <si>
    <t xml:space="preserve">Reported: Total non-current liabilities</t>
  </si>
  <si>
    <t xml:space="preserve">Reported: Total current liabilities</t>
  </si>
  <si>
    <t xml:space="preserve">Reported: Net cash from operating activities</t>
  </si>
  <si>
    <t xml:space="preserve">Reported: Net cash from investing activities</t>
  </si>
  <si>
    <t xml:space="preserve">Reported: Net cash from financing activities</t>
  </si>
  <si>
    <t xml:space="preserve">Reported: Cash at end of year (net of overdraft)</t>
  </si>
  <si>
    <t xml:space="preserve">Historical tie-out status</t>
  </si>
  <si>
    <t xml:space="preserve">Britannia Industries - Integrated three-statement model</t>
  </si>
  <si>
    <t xml:space="preserve">Consolidated, Rs crore, FYE 31 March. Historical = links to Historical sheet (green). Forecast = formulas driven by Assumptions (black).</t>
  </si>
  <si>
    <t xml:space="preserve">Notes</t>
  </si>
  <si>
    <t xml:space="preserve">Cost of goods sold (materials + purchases + inventory change)</t>
  </si>
  <si>
    <t xml:space="preserve">EBITDA here = revenue - COGS - employee - other expenses (excludes other income); FY26A Rs 3,544 cr ties to broker-reported EBITDA.</t>
  </si>
  <si>
    <t xml:space="preserve">Gross profit</t>
  </si>
  <si>
    <t xml:space="preserve">  Gross margin (% of revenue)</t>
  </si>
  <si>
    <t xml:space="preserve">EBITDA</t>
  </si>
  <si>
    <t xml:space="preserve">  EBITDA margin (% of revenue)</t>
  </si>
  <si>
    <t xml:space="preserve">EBIT</t>
  </si>
  <si>
    <t xml:space="preserve">Exceptional items (expense)</t>
  </si>
  <si>
    <t xml:space="preserve">Tax expense</t>
  </si>
  <si>
    <t xml:space="preserve">Net profit</t>
  </si>
  <si>
    <t xml:space="preserve">  of which non-controlling interests</t>
  </si>
  <si>
    <t xml:space="preserve">  Net profit to owners</t>
  </si>
  <si>
    <t xml:space="preserve">EPS (Rs)</t>
  </si>
  <si>
    <t xml:space="preserve">Historical EPS as reported; forecast EPS = net profit to owners / 24.09 crore shares.</t>
  </si>
  <si>
    <t xml:space="preserve">  Revenue growth</t>
  </si>
  <si>
    <t xml:space="preserve">  Net profit growth</t>
  </si>
  <si>
    <t xml:space="preserve">  Effective tax rate</t>
  </si>
  <si>
    <t xml:space="preserve">BALANCE SHEET (condensed)</t>
  </si>
  <si>
    <t xml:space="preserve">Net fixed assets and intangibles (PPE, CWIP, inv. property, goodwill, intangibles)</t>
  </si>
  <si>
    <t xml:space="preserve">Financial investments (non-current + current)</t>
  </si>
  <si>
    <t xml:space="preserve">Other treasury assets (bank balances + loans)</t>
  </si>
  <si>
    <t xml:space="preserve">Other operating assets</t>
  </si>
  <si>
    <t xml:space="preserve">Total assets</t>
  </si>
  <si>
    <t xml:space="preserve">Trade payables</t>
  </si>
  <si>
    <t xml:space="preserve">Other operating liabilities (provisions, other liabilities, tax)</t>
  </si>
  <si>
    <t xml:space="preserve">Borrowings incl. lease liabilities</t>
  </si>
  <si>
    <t xml:space="preserve">Total equity (incl. NCI)</t>
  </si>
  <si>
    <t xml:space="preserve">Total equity and liabilities</t>
  </si>
  <si>
    <t xml:space="preserve">Balance check (assets - liabilities - equity)</t>
  </si>
  <si>
    <t xml:space="preserve">Net working capital (inv + rec + other op. assets - payables - other op. liabilities)</t>
  </si>
  <si>
    <t xml:space="preserve">Net cash / (debt): cash + investments + other treasury - borrowings</t>
  </si>
  <si>
    <t xml:space="preserve">CASH FLOW STATEMENT (projection basis: interest sits inside net profit)</t>
  </si>
  <si>
    <t xml:space="preserve">Forecast cash flow is a simplified indirect build; reported FY24A-FY26A cash flows (rows above) classify interest in investing/financing.</t>
  </si>
  <si>
    <t xml:space="preserve">Add: depreciation and amortisation</t>
  </si>
  <si>
    <t xml:space="preserve">Add back: share of loss of associates (non-cash)</t>
  </si>
  <si>
    <t xml:space="preserve">(Increase) / decrease in inventories</t>
  </si>
  <si>
    <t xml:space="preserve">(Increase) / decrease in receivables</t>
  </si>
  <si>
    <t xml:space="preserve">(Increase) / decrease in other operating assets</t>
  </si>
  <si>
    <t xml:space="preserve">Increase / (decrease) in payables</t>
  </si>
  <si>
    <t xml:space="preserve">Increase / (decrease) in other operating liabilities</t>
  </si>
  <si>
    <t xml:space="preserve">Cash flow from operations</t>
  </si>
  <si>
    <t xml:space="preserve">Capital expenditure</t>
  </si>
  <si>
    <t xml:space="preserve">Net (purchase) / sale of financial investments</t>
  </si>
  <si>
    <t xml:space="preserve">Cash flow from investing</t>
  </si>
  <si>
    <t xml:space="preserve">Net borrowings drawn / (repaid)</t>
  </si>
  <si>
    <t xml:space="preserve">Forecast dividends paid in year t = payout % x net profit of year t-1 (final dividend is paid after year-end).</t>
  </si>
  <si>
    <t xml:space="preserve">Cash flow from financing</t>
  </si>
  <si>
    <t xml:space="preserve">Opening cash</t>
  </si>
  <si>
    <t xml:space="preserve">Closing cash</t>
  </si>
  <si>
    <t xml:space="preserve">Reported closing cash is net of bank overdraft (Rs 212.84 cr FY26A) vs balance sheet cash of Rs 220.00 cr; forecast opens from balance sheet cash.</t>
  </si>
  <si>
    <t xml:space="preserve">Discounted cash flow valuation</t>
  </si>
  <si>
    <t xml:space="preserve">Unlevered free cash flow to firm, Rs crore. Valuation as of the date on the Assumptions sheet.</t>
  </si>
  <si>
    <t xml:space="preserve">COST OF CAPITAL (WACC)</t>
  </si>
  <si>
    <t xml:space="preserve">Active scenario</t>
  </si>
  <si>
    <t xml:space="preserve">Risk-free rate</t>
  </si>
  <si>
    <t xml:space="preserve">Cost of equity (CAPM) = Rf + beta x ERP</t>
  </si>
  <si>
    <t xml:space="preserve">Tax rate</t>
  </si>
  <si>
    <t xml:space="preserve">After-tax cost of debt</t>
  </si>
  <si>
    <t xml:space="preserve">Market capitalisation (Rs crore)</t>
  </si>
  <si>
    <t xml:space="preserve">Current price x shares outstanding</t>
  </si>
  <si>
    <t xml:space="preserve">Borrowings incl. leases (Rs crore, 31-Mar-2026)</t>
  </si>
  <si>
    <t xml:space="preserve">Weight of equity</t>
  </si>
  <si>
    <t xml:space="preserve">Weight of debt</t>
  </si>
  <si>
    <t xml:space="preserve">Mid-year convention (1 = on)</t>
  </si>
  <si>
    <t xml:space="preserve">Fraction of FY27E remaining after valuation date</t>
  </si>
  <si>
    <t xml:space="preserve">Only the post-valuation-date part of FY27E cash flow is counted</t>
  </si>
  <si>
    <t xml:space="preserve">UNLEVERED FREE CASH FLOW</t>
  </si>
  <si>
    <t xml:space="preserve">Less: D&amp;A</t>
  </si>
  <si>
    <t xml:space="preserve">Less: tax on EBIT</t>
  </si>
  <si>
    <t xml:space="preserve">Tax on EBIT at the statutory rate (unlevered); excludes other income because treasury assets are added in the equity bridge.</t>
  </si>
  <si>
    <t xml:space="preserve">NOPAT</t>
  </si>
  <si>
    <t xml:space="preserve">Add: D&amp;A</t>
  </si>
  <si>
    <t xml:space="preserve">Less: capital expenditure</t>
  </si>
  <si>
    <t xml:space="preserve">Less: increase in net working capital</t>
  </si>
  <si>
    <t xml:space="preserve">Britannia runs negative working capital, so growth releases cash (positive number).</t>
  </si>
  <si>
    <t xml:space="preserve">Unlevered free cash flow (UFCF)</t>
  </si>
  <si>
    <t xml:space="preserve">Forecast year #</t>
  </si>
  <si>
    <t xml:space="preserve">Fiscal year-end</t>
  </si>
  <si>
    <t xml:space="preserve">Fraction of year counted</t>
  </si>
  <si>
    <t xml:space="preserve">Discount period (years)</t>
  </si>
  <si>
    <t xml:space="preserve">Mid-year: FY27E stub discounted at half the stub; later years at (stub + n - 1) + 0.5.</t>
  </si>
  <si>
    <t xml:space="preserve">Discount factor</t>
  </si>
  <si>
    <t xml:space="preserve">UFCF counted</t>
  </si>
  <si>
    <t xml:space="preserve">Present value of UFCF</t>
  </si>
  <si>
    <t xml:space="preserve">ENTERPRISE VALUE</t>
  </si>
  <si>
    <t xml:space="preserve">Sum of PV of UFCF (FY27E stub - FY36E)</t>
  </si>
  <si>
    <t xml:space="preserve">Terminal-year UFCF x (1 + g)</t>
  </si>
  <si>
    <t xml:space="preserve">Terminal value (Gordon growth)</t>
  </si>
  <si>
    <t xml:space="preserve">PV of terminal value</t>
  </si>
  <si>
    <t xml:space="preserve">Enterprise value</t>
  </si>
  <si>
    <t xml:space="preserve">Terminal value as % of enterprise value</t>
  </si>
  <si>
    <t xml:space="preserve">Implied terminal EV / EBITDA (on terminal-year EBITDA)</t>
  </si>
  <si>
    <t xml:space="preserve">EQUITY BRIDGE (balance sheet as at 31-Mar-2026)</t>
  </si>
  <si>
    <t xml:space="preserve">Add: cash and cash equivalents</t>
  </si>
  <si>
    <t xml:space="preserve">Add: financial investments (non-current + current)</t>
  </si>
  <si>
    <t xml:space="preserve">Add: other treasury assets (bank balances, loans)</t>
  </si>
  <si>
    <t xml:space="preserve">Add: investment in associates and JV (book value)</t>
  </si>
  <si>
    <t xml:space="preserve">Less: borrowings incl. lease liabilities</t>
  </si>
  <si>
    <t xml:space="preserve">Less: non-controlling interests (book value)</t>
  </si>
  <si>
    <t xml:space="preserve">Net adjustments (EV to equity)</t>
  </si>
  <si>
    <t xml:space="preserve">Equity value</t>
  </si>
  <si>
    <t xml:space="preserve">WHAT THE MARKET PRICE IMPLIES (reverse DCF) AND MULTIPLES</t>
  </si>
  <si>
    <t xml:space="preserve">Market enterprise value (Rs crore)</t>
  </si>
  <si>
    <t xml:space="preserve">Terminal growth the current price implies (same forecast, same WACC)</t>
  </si>
  <si>
    <t xml:space="preserve">Solves the Gordon-growth terminal value for g so that DCF value = market price</t>
  </si>
  <si>
    <t xml:space="preserve">EV / EBITDA - FY26A (market)</t>
  </si>
  <si>
    <t xml:space="preserve">EV / EBITDA - FY27E (market)</t>
  </si>
  <si>
    <t xml:space="preserve">EV / EBITDA - FY27E (at DCF value)</t>
  </si>
  <si>
    <t xml:space="preserve">P/E - FY26A (market, reported EPS)</t>
  </si>
  <si>
    <t xml:space="preserve">P/E - FY27E (market)</t>
  </si>
  <si>
    <t xml:space="preserve">P/E - FY27E (at DCF value)</t>
  </si>
  <si>
    <t xml:space="preserve">Sensitivity analysis</t>
  </si>
  <si>
    <t xml:space="preserve">DCF value per share (Rs) - WACC vs terminal growth. Every cell is a live formula (no data table needed).</t>
  </si>
  <si>
    <t xml:space="preserve">WACC step</t>
  </si>
  <si>
    <t xml:space="preserve">Terminal growth step</t>
  </si>
  <si>
    <t xml:space="preserve">Base WACC</t>
  </si>
  <si>
    <t xml:space="preserve">Base terminal growth</t>
  </si>
  <si>
    <t xml:space="preserve">DCF VALUE PER SHARE (Rs)</t>
  </si>
  <si>
    <t xml:space="preserve">WACC (down)  /  terminal growth (across)</t>
  </si>
  <si>
    <t xml:space="preserve">UPSIDE / (DOWNSIDE) VS CURRENT PRICE</t>
  </si>
  <si>
    <t xml:space="preserve">Check: centre cell equals DCF sheet value per share</t>
  </si>
  <si>
    <t xml:space="preserve">Inner range (WACC +/- 1 step, g +/- 1 step): low</t>
  </si>
  <si>
    <t xml:space="preserve">Inner range: high</t>
  </si>
  <si>
    <t xml:space="preserve">Trading comparables (indicative cross-check)</t>
  </si>
  <si>
    <t xml:space="preserve">Same-date peer snapshot so multiples are comparable. Refresh every figure before presenting.</t>
  </si>
  <si>
    <t xml:space="preserve">Company</t>
  </si>
  <si>
    <t xml:space="preserve">Mkt cap (Rs cr)</t>
  </si>
  <si>
    <t xml:space="preserve">P/E (TTM)</t>
  </si>
  <si>
    <t xml:space="preserve">P/B</t>
  </si>
  <si>
    <t xml:space="preserve">ROE</t>
  </si>
  <si>
    <t xml:space="preserve">EPS TTM (Rs)</t>
  </si>
  <si>
    <t xml:space="preserve">Source / date</t>
  </si>
  <si>
    <t xml:space="preserve">Hindustan Unilever</t>
  </si>
  <si>
    <t xml:space="preserve">Upstox peer table, page dated 27-Jul-2026</t>
  </si>
  <si>
    <t xml:space="preserve">Varun Beverages</t>
  </si>
  <si>
    <t xml:space="preserve">Marico</t>
  </si>
  <si>
    <t xml:space="preserve">Godrej Consumer Products</t>
  </si>
  <si>
    <t xml:space="preserve">Peer median</t>
  </si>
  <si>
    <t xml:space="preserve">Peer mean</t>
  </si>
  <si>
    <t xml:space="preserve">Peer high</t>
  </si>
  <si>
    <t xml:space="preserve">Peer low</t>
  </si>
  <si>
    <t xml:space="preserve">Britannia (same 27-Jul-2026 snapshot)</t>
  </si>
  <si>
    <t xml:space="preserve">Britannia (current)</t>
  </si>
  <si>
    <t xml:space="preserve">Screener.in 16-Oct-2026 (price Rs 4,764; TTM EPS Rs 108.11; ROE 53.5%)</t>
  </si>
  <si>
    <t xml:space="preserve">IMPLIED BRITANNIA VALUE FROM PEER P/E (x Britannia TTM EPS)</t>
  </si>
  <si>
    <t xml:space="preserve">Median</t>
  </si>
  <si>
    <t xml:space="preserve">Peer P/E (x)</t>
  </si>
  <si>
    <t xml:space="preserve">Implied value per share (Rs)</t>
  </si>
  <si>
    <t xml:space="preserve">vs current price</t>
  </si>
  <si>
    <t xml:space="preserve">Peers were chosen from the one page that gave all companies on the same date; Nestle India, ITC, Tata Consumer and Dabur are not included because a consistent same-date source was not found.</t>
  </si>
  <si>
    <t xml:space="preserve">Britannia has de-rated since the snapshot (P/E 51.6x on 27-Jul-2026 vs 44.1x on 16-Oct-2026), so peer multiples from July are stale relative to the current price. Refresh before relying on this.</t>
  </si>
  <si>
    <t xml:space="preserve">P/E-only comps are a rough cross-check; add EV/EBITDA once peer EBITDA and net debt are sourced on the same date.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</si>
</sst>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@"/>
    <numFmt numFmtId="166" formatCode="#,##0"/>
    <numFmt numFmtId="167" formatCode="0.0%;\(0.0%\);\-"/>
    <numFmt numFmtId="168" formatCode="0.00%;\(0.00%\);\-"/>
    <numFmt numFmtId="169" formatCode="0.0\x"/>
    <numFmt numFmtId="170" formatCode="#,##0.0;\(#,##0.0\);\-"/>
    <numFmt numFmtId="171" formatCode="0.0"/>
    <numFmt numFmtId="172" formatCode="0"/>
    <numFmt numFmtId="173" formatCode="dd\-mmm\-yyyy"/>
    <numFmt numFmtId="174" formatCode="#,##0.00;\(#,##0.00\);\-"/>
    <numFmt numFmtId="175" formatCode="0.00"/>
    <numFmt numFmtId="176" formatCode="0.000"/>
    <numFmt numFmtId="177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tr">
        <f aca="false">Assumptions!C27</f>
        <v>Base</v>
      </c>
    </row>
    <row r="6" customFormat="false" ht="15" hidden="false" customHeight="false" outlineLevel="0" collapsed="false">
      <c r="A6" s="4" t="s">
        <v>4</v>
      </c>
      <c r="B6" s="6" t="n">
        <f aca="false">DCF!B61</f>
        <v>2692.19952840819</v>
      </c>
    </row>
    <row r="7" customFormat="false" ht="15" hidden="false" customHeight="false" outlineLevel="0" collapsed="false">
      <c r="A7" s="4" t="s">
        <v>5</v>
      </c>
      <c r="B7" s="6" t="n">
        <f aca="false">Assumptions!$B$37</f>
        <v>4764</v>
      </c>
    </row>
    <row r="8" customFormat="false" ht="15" hidden="false" customHeight="false" outlineLevel="0" collapsed="false">
      <c r="A8" s="4" t="s">
        <v>6</v>
      </c>
      <c r="B8" s="7" t="n">
        <f aca="false">DCF!B63</f>
        <v>-0.43488674886478</v>
      </c>
    </row>
    <row r="9" customFormat="false" ht="15" hidden="false" customHeight="false" outlineLevel="0" collapsed="false">
      <c r="A9" s="4" t="s">
        <v>7</v>
      </c>
      <c r="B9" s="8" t="n">
        <f aca="false">DCF!B17</f>
        <v>0.103475197866392</v>
      </c>
    </row>
    <row r="10" customFormat="false" ht="15" hidden="false" customHeight="false" outlineLevel="0" collapsed="false">
      <c r="A10" s="4" t="s">
        <v>8</v>
      </c>
      <c r="B10" s="8" t="n">
        <f aca="false">DCF!B18</f>
        <v>0.055</v>
      </c>
    </row>
    <row r="11" customFormat="false" ht="15" hidden="false" customHeight="false" outlineLevel="0" collapsed="false">
      <c r="A11" s="4" t="s">
        <v>9</v>
      </c>
      <c r="B11" s="8" t="n">
        <f aca="false">DCF!B67</f>
        <v>0.0809750273932159</v>
      </c>
    </row>
    <row r="12" customFormat="false" ht="15" hidden="false" customHeight="false" outlineLevel="0" collapsed="false">
      <c r="A12" s="4" t="s">
        <v>10</v>
      </c>
      <c r="B12" s="7" t="n">
        <f aca="false">DCF!B48</f>
        <v>0.664395748676569</v>
      </c>
    </row>
    <row r="13" customFormat="false" ht="15" hidden="false" customHeight="false" outlineLevel="0" collapsed="false">
      <c r="A13" s="4" t="s">
        <v>11</v>
      </c>
      <c r="B13" s="9" t="n">
        <f aca="false">DCF!B69</f>
        <v>28.3669280957396</v>
      </c>
    </row>
    <row r="14" customFormat="false" ht="15" hidden="false" customHeight="false" outlineLevel="0" collapsed="false">
      <c r="A14" s="4" t="s">
        <v>12</v>
      </c>
      <c r="B14" s="9" t="n">
        <f aca="false">DCF!B72</f>
        <v>40.7918137010002</v>
      </c>
    </row>
    <row r="16" customFormat="false" ht="15" hidden="false" customHeight="false" outlineLevel="0" collapsed="false">
      <c r="A16" s="3" t="s">
        <v>13</v>
      </c>
      <c r="B16" s="10" t="s">
        <v>14</v>
      </c>
      <c r="C16" s="10" t="s">
        <v>15</v>
      </c>
    </row>
    <row r="17" customFormat="false" ht="15" hidden="false" customHeight="false" outlineLevel="0" collapsed="false">
      <c r="A17" s="4" t="s">
        <v>16</v>
      </c>
      <c r="B17" s="11" t="n">
        <f aca="false">Sensitivity!B28</f>
        <v>2308.78450930878</v>
      </c>
      <c r="C17" s="11" t="n">
        <f aca="false">Sensitivity!B29</f>
        <v>3270.52327201017</v>
      </c>
    </row>
    <row r="18" customFormat="false" ht="15" hidden="false" customHeight="false" outlineLevel="0" collapsed="false">
      <c r="A18" s="4" t="s">
        <v>17</v>
      </c>
      <c r="B18" s="11" t="n">
        <f aca="false">Comps!B20</f>
        <v>3472.4932</v>
      </c>
      <c r="C18" s="11" t="n">
        <f aca="false">Comps!D20</f>
        <v>5874.6974</v>
      </c>
    </row>
    <row r="19" customFormat="false" ht="15" hidden="false" customHeight="false" outlineLevel="0" collapsed="false">
      <c r="A19" s="4" t="s">
        <v>18</v>
      </c>
      <c r="B19" s="11" t="n">
        <f aca="false">Assumptions!$B$47</f>
        <v>4734</v>
      </c>
      <c r="C19" s="11" t="n">
        <f aca="false">Assumptions!$B$48</f>
        <v>6271</v>
      </c>
    </row>
    <row r="21" customFormat="false" ht="15" hidden="false" customHeight="false" outlineLevel="0" collapsed="false">
      <c r="A21" s="3" t="s">
        <v>19</v>
      </c>
    </row>
    <row r="22" customFormat="false" ht="15" hidden="false" customHeight="false" outlineLevel="0" collapsed="false">
      <c r="A22" s="4" t="s">
        <v>20</v>
      </c>
      <c r="B22" s="12" t="str">
        <f aca="false">Historical!B147</f>
        <v>OK</v>
      </c>
    </row>
    <row r="23" customFormat="false" ht="15" hidden="false" customHeight="false" outlineLevel="0" collapsed="false">
      <c r="A23" s="4" t="s">
        <v>21</v>
      </c>
      <c r="B23" s="12" t="str">
        <f aca="false">IF(SUMPRODUCT(ABS(Model!B48:N48))&lt;0.05,"OK","ERROR")</f>
        <v>OK</v>
      </c>
    </row>
    <row r="24" customFormat="false" ht="15" hidden="false" customHeight="false" outlineLevel="0" collapsed="false">
      <c r="A24" s="4" t="s">
        <v>22</v>
      </c>
      <c r="B24" s="12" t="str">
        <f aca="false">Sensitivity!B27</f>
        <v>OK</v>
      </c>
    </row>
    <row r="25" customFormat="false" ht="15" hidden="false" customHeight="false" outlineLevel="0" collapsed="false">
      <c r="A25" s="4" t="s">
        <v>23</v>
      </c>
      <c r="B25" s="12" t="str">
        <f aca="false">IF(SUMPRODUCT(ABS(Model!E71:N71-Model!E36:N36))&lt;0.05,"OK","ERROR")</f>
        <v>OK</v>
      </c>
    </row>
    <row r="27" customFormat="false" ht="15" hidden="false" customHeight="false" outlineLevel="0" collapsed="false">
      <c r="A27" s="3" t="s">
        <v>24</v>
      </c>
    </row>
    <row r="28" customFormat="false" ht="15" hidden="false" customHeight="false" outlineLevel="0" collapsed="false">
      <c r="A28" s="4" t="s">
        <v>25</v>
      </c>
    </row>
    <row r="29" customFormat="false" ht="15" hidden="false" customHeight="false" outlineLevel="0" collapsed="false">
      <c r="A29" s="4" t="s">
        <v>26</v>
      </c>
    </row>
    <row r="30" customFormat="false" ht="15" hidden="false" customHeight="false" outlineLevel="0" collapsed="false">
      <c r="A30" s="4" t="s">
        <v>27</v>
      </c>
    </row>
    <row r="31" customFormat="false" ht="15" hidden="false" customHeight="false" outlineLevel="0" collapsed="false">
      <c r="A31" s="4" t="s">
        <v>28</v>
      </c>
    </row>
    <row r="32" customFormat="false" ht="15" hidden="false" customHeight="false" outlineLevel="0" collapsed="false">
      <c r="A32" s="4" t="s">
        <v>29</v>
      </c>
    </row>
    <row r="34" customFormat="false" ht="15" hidden="false" customHeight="false" outlineLevel="0" collapsed="false">
      <c r="A34" s="3" t="s">
        <v>30</v>
      </c>
    </row>
    <row r="35" customFormat="false" ht="15" hidden="false" customHeight="false" outlineLevel="0" collapsed="false">
      <c r="A35" s="13" t="s">
        <v>31</v>
      </c>
    </row>
    <row r="36" customFormat="false" ht="15" hidden="false" customHeight="false" outlineLevel="0" collapsed="false">
      <c r="A36" s="4" t="s">
        <v>32</v>
      </c>
    </row>
    <row r="37" customFormat="false" ht="15" hidden="false" customHeight="false" outlineLevel="0" collapsed="false">
      <c r="A37" s="14" t="s">
        <v>33</v>
      </c>
    </row>
    <row r="38" customFormat="false" ht="15" hidden="false" customHeight="false" outlineLevel="0" collapsed="false">
      <c r="A38" s="15" t="s">
        <v>34</v>
      </c>
    </row>
    <row r="40" customFormat="false" ht="15" hidden="false" customHeight="false" outlineLevel="0" collapsed="false">
      <c r="A40" s="3" t="s">
        <v>35</v>
      </c>
    </row>
    <row r="41" customFormat="false" ht="15" hidden="false" customHeight="false" outlineLevel="0" collapsed="false">
      <c r="A41" s="4" t="s">
        <v>36</v>
      </c>
    </row>
    <row r="42" customFormat="false" ht="15" hidden="false" customHeight="false" outlineLevel="0" collapsed="false">
      <c r="A42" s="4" t="s">
        <v>37</v>
      </c>
    </row>
    <row r="43" customFormat="false" ht="15" hidden="false" customHeight="false" outlineLevel="0" collapsed="false">
      <c r="A43" s="4" t="s">
        <v>38</v>
      </c>
    </row>
    <row r="44" customFormat="false" ht="15" hidden="false" customHeight="false" outlineLevel="0" collapsed="false">
      <c r="A44" s="4" t="s">
        <v>39</v>
      </c>
    </row>
    <row r="46" customFormat="false" ht="15" hidden="false" customHeight="false" outlineLevel="0" collapsed="false">
      <c r="A46" s="3" t="s">
        <v>40</v>
      </c>
    </row>
    <row r="47" customFormat="false" ht="15" hidden="false" customHeight="false" outlineLevel="0" collapsed="false">
      <c r="A47" s="4" t="s">
        <v>41</v>
      </c>
    </row>
    <row r="48" customFormat="false" ht="15" hidden="false" customHeight="false" outlineLevel="0" collapsed="false">
      <c r="A48" s="4" t="s">
        <v>42</v>
      </c>
    </row>
    <row r="49" customFormat="false" ht="15" hidden="false" customHeight="false" outlineLevel="0" collapsed="false">
      <c r="A49" s="4" t="s">
        <v>43</v>
      </c>
    </row>
    <row r="50" customFormat="false" ht="15" hidden="false" customHeight="false" outlineLevel="0" collapsed="false">
      <c r="A50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4" min="2" style="0" width="11"/>
    <col collapsed="false" customWidth="true" hidden="false" outlineLevel="0" max="15" min="15" style="0" width="100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16" t="s">
        <v>47</v>
      </c>
      <c r="B4" s="17" t="s">
        <v>48</v>
      </c>
      <c r="C4" s="17" t="s">
        <v>49</v>
      </c>
      <c r="D4" s="17" t="s">
        <v>50</v>
      </c>
      <c r="E4" s="17" t="s">
        <v>51</v>
      </c>
      <c r="F4" s="17" t="s">
        <v>52</v>
      </c>
      <c r="G4" s="17" t="s">
        <v>53</v>
      </c>
      <c r="H4" s="17" t="s">
        <v>54</v>
      </c>
      <c r="I4" s="17" t="s">
        <v>55</v>
      </c>
      <c r="J4" s="17" t="s">
        <v>56</v>
      </c>
      <c r="K4" s="17" t="s">
        <v>57</v>
      </c>
      <c r="L4" s="17" t="s">
        <v>58</v>
      </c>
      <c r="M4" s="17" t="s">
        <v>59</v>
      </c>
      <c r="N4" s="17" t="s">
        <v>60</v>
      </c>
      <c r="O4" s="17" t="s">
        <v>61</v>
      </c>
    </row>
    <row r="5" customFormat="false" ht="15" hidden="false" customHeight="false" outlineLevel="0" collapsed="false">
      <c r="A5" s="4" t="s">
        <v>62</v>
      </c>
      <c r="C5" s="18" t="n">
        <f aca="false">Model!C6/Model!B6-1</f>
        <v>0.0597605131326147</v>
      </c>
      <c r="D5" s="18" t="n">
        <f aca="false">Model!D6/Model!C6-1</f>
        <v>0.0754598512006259</v>
      </c>
      <c r="E5" s="19" t="n">
        <v>0.09</v>
      </c>
      <c r="F5" s="19" t="n">
        <v>0.09</v>
      </c>
      <c r="G5" s="19" t="n">
        <v>0.085</v>
      </c>
      <c r="H5" s="19" t="n">
        <v>0.08</v>
      </c>
      <c r="I5" s="19" t="n">
        <v>0.08</v>
      </c>
      <c r="J5" s="19" t="n">
        <v>0.075</v>
      </c>
      <c r="K5" s="19" t="n">
        <v>0.07</v>
      </c>
      <c r="L5" s="19" t="n">
        <v>0.065</v>
      </c>
      <c r="M5" s="19" t="n">
        <v>0.06</v>
      </c>
      <c r="N5" s="19" t="n">
        <v>0.055</v>
      </c>
      <c r="O5" s="2" t="s">
        <v>63</v>
      </c>
    </row>
    <row r="6" customFormat="false" ht="15" hidden="false" customHeight="false" outlineLevel="0" collapsed="false">
      <c r="A6" s="4" t="s">
        <v>64</v>
      </c>
      <c r="B6" s="18" t="n">
        <f aca="false">Model!B7/Model!B6</f>
        <v>0.0134810328165785</v>
      </c>
      <c r="C6" s="18" t="n">
        <f aca="false">Model!C7/Model!C6</f>
        <v>0.0232477636181767</v>
      </c>
      <c r="D6" s="18" t="n">
        <f aca="false">Model!D7/Model!D6</f>
        <v>0.015557149909774</v>
      </c>
      <c r="E6" s="20" t="n">
        <v>0.016</v>
      </c>
      <c r="F6" s="20" t="n">
        <v>0.016</v>
      </c>
      <c r="G6" s="20" t="n">
        <v>0.016</v>
      </c>
      <c r="H6" s="20" t="n">
        <v>0.016</v>
      </c>
      <c r="I6" s="20" t="n">
        <v>0.016</v>
      </c>
      <c r="J6" s="20" t="n">
        <v>0.016</v>
      </c>
      <c r="K6" s="20" t="n">
        <v>0.016</v>
      </c>
      <c r="L6" s="20" t="n">
        <v>0.016</v>
      </c>
      <c r="M6" s="20" t="n">
        <v>0.016</v>
      </c>
      <c r="N6" s="20" t="n">
        <v>0.016</v>
      </c>
      <c r="O6" s="2" t="s">
        <v>65</v>
      </c>
    </row>
    <row r="7" customFormat="false" ht="15" hidden="false" customHeight="false" outlineLevel="0" collapsed="false">
      <c r="A7" s="4" t="s">
        <v>66</v>
      </c>
      <c r="B7" s="18" t="n">
        <f aca="false">Model!B9/Model!B6</f>
        <v>0.57366792757979</v>
      </c>
      <c r="C7" s="18" t="n">
        <f aca="false">Model!C9/Model!C6</f>
        <v>0.604735552055259</v>
      </c>
      <c r="D7" s="18" t="n">
        <f aca="false">Model!D9/Model!D6</f>
        <v>0.590346591749694</v>
      </c>
      <c r="E7" s="19" t="n">
        <v>0.588</v>
      </c>
      <c r="F7" s="19" t="n">
        <v>0.586</v>
      </c>
      <c r="G7" s="19" t="n">
        <v>0.585</v>
      </c>
      <c r="H7" s="19" t="n">
        <v>0.585</v>
      </c>
      <c r="I7" s="19" t="n">
        <v>0.585</v>
      </c>
      <c r="J7" s="19" t="n">
        <v>0.585</v>
      </c>
      <c r="K7" s="19" t="n">
        <v>0.585</v>
      </c>
      <c r="L7" s="19" t="n">
        <v>0.585</v>
      </c>
      <c r="M7" s="19" t="n">
        <v>0.585</v>
      </c>
      <c r="N7" s="19" t="n">
        <v>0.585</v>
      </c>
      <c r="O7" s="2" t="s">
        <v>67</v>
      </c>
    </row>
    <row r="8" customFormat="false" ht="15" hidden="false" customHeight="false" outlineLevel="0" collapsed="false">
      <c r="A8" s="4" t="s">
        <v>68</v>
      </c>
      <c r="B8" s="18" t="n">
        <f aca="false">Model!B12/Model!B8</f>
        <v>0.0422618277360911</v>
      </c>
      <c r="C8" s="18" t="n">
        <f aca="false">Model!C12/Model!C8</f>
        <v>0.0392689605281711</v>
      </c>
      <c r="D8" s="18" t="n">
        <f aca="false">Model!D12/Model!D8</f>
        <v>0.0430147053064524</v>
      </c>
      <c r="E8" s="20" t="n">
        <v>0.042</v>
      </c>
      <c r="F8" s="20" t="n">
        <v>0.042</v>
      </c>
      <c r="G8" s="20" t="n">
        <v>0.042</v>
      </c>
      <c r="H8" s="20" t="n">
        <v>0.042</v>
      </c>
      <c r="I8" s="20" t="n">
        <v>0.042</v>
      </c>
      <c r="J8" s="20" t="n">
        <v>0.042</v>
      </c>
      <c r="K8" s="20" t="n">
        <v>0.042</v>
      </c>
      <c r="L8" s="20" t="n">
        <v>0.042</v>
      </c>
      <c r="M8" s="20" t="n">
        <v>0.042</v>
      </c>
      <c r="N8" s="20" t="n">
        <v>0.042</v>
      </c>
      <c r="O8" s="2" t="s">
        <v>69</v>
      </c>
    </row>
    <row r="9" customFormat="false" ht="15" hidden="false" customHeight="false" outlineLevel="0" collapsed="false">
      <c r="A9" s="4" t="s">
        <v>70</v>
      </c>
      <c r="B9" s="18" t="n">
        <f aca="false">Model!B13/Model!B8</f>
        <v>0.202674296495912</v>
      </c>
      <c r="C9" s="18" t="n">
        <f aca="false">Model!C13/Model!C8</f>
        <v>0.192105188358254</v>
      </c>
      <c r="D9" s="18" t="n">
        <f aca="false">Model!D13/Model!D8</f>
        <v>0.190609761382736</v>
      </c>
      <c r="E9" s="20" t="n">
        <v>0.19</v>
      </c>
      <c r="F9" s="20" t="n">
        <v>0.19</v>
      </c>
      <c r="G9" s="20" t="n">
        <v>0.19</v>
      </c>
      <c r="H9" s="20" t="n">
        <v>0.19</v>
      </c>
      <c r="I9" s="20" t="n">
        <v>0.19</v>
      </c>
      <c r="J9" s="20" t="n">
        <v>0.19</v>
      </c>
      <c r="K9" s="20" t="n">
        <v>0.19</v>
      </c>
      <c r="L9" s="20" t="n">
        <v>0.19</v>
      </c>
      <c r="M9" s="20" t="n">
        <v>0.19</v>
      </c>
      <c r="N9" s="20" t="n">
        <v>0.19</v>
      </c>
      <c r="O9" s="2" t="s">
        <v>71</v>
      </c>
    </row>
    <row r="10" customFormat="false" ht="15" hidden="false" customHeight="false" outlineLevel="0" collapsed="false">
      <c r="A10" s="4" t="s">
        <v>72</v>
      </c>
      <c r="C10" s="18" t="n">
        <f aca="false">Model!C16/Model!B33</f>
        <v>0.105905336163424</v>
      </c>
      <c r="D10" s="18" t="n">
        <f aca="false">Model!D16/Model!C33</f>
        <v>0.112539258269295</v>
      </c>
      <c r="E10" s="20" t="n">
        <v>0.11</v>
      </c>
      <c r="F10" s="20" t="n">
        <v>0.11</v>
      </c>
      <c r="G10" s="20" t="n">
        <v>0.11</v>
      </c>
      <c r="H10" s="20" t="n">
        <v>0.11</v>
      </c>
      <c r="I10" s="20" t="n">
        <v>0.11</v>
      </c>
      <c r="J10" s="20" t="n">
        <v>0.11</v>
      </c>
      <c r="K10" s="20" t="n">
        <v>0.11</v>
      </c>
      <c r="L10" s="20" t="n">
        <v>0.11</v>
      </c>
      <c r="M10" s="20" t="n">
        <v>0.11</v>
      </c>
      <c r="N10" s="20" t="n">
        <v>0.11</v>
      </c>
      <c r="O10" s="2" t="s">
        <v>73</v>
      </c>
    </row>
    <row r="11" customFormat="false" ht="15" hidden="false" customHeight="false" outlineLevel="0" collapsed="false">
      <c r="A11" s="4" t="s">
        <v>74</v>
      </c>
      <c r="B11" s="18" t="n">
        <f aca="false">-Model!B63/Model!B8</f>
        <v>0.0329692347967443</v>
      </c>
      <c r="C11" s="18" t="n">
        <f aca="false">-Model!C63/Model!C8</f>
        <v>0.0208915395534778</v>
      </c>
      <c r="D11" s="18" t="n">
        <f aca="false">-Model!D63/Model!D8</f>
        <v>0.0107338346320071</v>
      </c>
      <c r="E11" s="20" t="n">
        <v>0.02</v>
      </c>
      <c r="F11" s="20" t="n">
        <v>0.02</v>
      </c>
      <c r="G11" s="20" t="n">
        <v>0.02</v>
      </c>
      <c r="H11" s="20" t="n">
        <v>0.02</v>
      </c>
      <c r="I11" s="20" t="n">
        <v>0.02</v>
      </c>
      <c r="J11" s="20" t="n">
        <v>0.02</v>
      </c>
      <c r="K11" s="20" t="n">
        <v>0.02</v>
      </c>
      <c r="L11" s="20" t="n">
        <v>0.02</v>
      </c>
      <c r="M11" s="20" t="n">
        <v>0.02</v>
      </c>
      <c r="N11" s="20" t="n">
        <v>0.02</v>
      </c>
      <c r="O11" s="2" t="s">
        <v>75</v>
      </c>
    </row>
    <row r="12" customFormat="false" ht="15" hidden="false" customHeight="false" outlineLevel="0" collapsed="false">
      <c r="A12" s="4" t="s">
        <v>76</v>
      </c>
      <c r="C12" s="18" t="n">
        <f aca="false">Model!C18/(Model!B35+Model!B36+Model!B37)</f>
        <v>0.0714409304403359</v>
      </c>
      <c r="D12" s="18" t="n">
        <f aca="false">Model!D18/(Model!C35+Model!C36+Model!C37)</f>
        <v>0.080897991904062</v>
      </c>
      <c r="E12" s="20" t="n">
        <v>0.07</v>
      </c>
      <c r="F12" s="20" t="n">
        <v>0.07</v>
      </c>
      <c r="G12" s="20" t="n">
        <v>0.07</v>
      </c>
      <c r="H12" s="20" t="n">
        <v>0.07</v>
      </c>
      <c r="I12" s="20" t="n">
        <v>0.07</v>
      </c>
      <c r="J12" s="20" t="n">
        <v>0.07</v>
      </c>
      <c r="K12" s="20" t="n">
        <v>0.07</v>
      </c>
      <c r="L12" s="20" t="n">
        <v>0.07</v>
      </c>
      <c r="M12" s="20" t="n">
        <v>0.07</v>
      </c>
      <c r="N12" s="20" t="n">
        <v>0.07</v>
      </c>
      <c r="O12" s="2" t="s">
        <v>77</v>
      </c>
    </row>
    <row r="13" customFormat="false" ht="15" hidden="false" customHeight="false" outlineLevel="0" collapsed="false">
      <c r="A13" s="4" t="s">
        <v>78</v>
      </c>
      <c r="C13" s="18" t="n">
        <f aca="false">Model!C19/Model!B45</f>
        <v>0.0672167983883465</v>
      </c>
      <c r="D13" s="18" t="n">
        <f aca="false">Model!D19/Model!C45</f>
        <v>0.0904605658999928</v>
      </c>
      <c r="E13" s="20" t="n">
        <v>0.08</v>
      </c>
      <c r="F13" s="20" t="n">
        <v>0.08</v>
      </c>
      <c r="G13" s="20" t="n">
        <v>0.08</v>
      </c>
      <c r="H13" s="20" t="n">
        <v>0.08</v>
      </c>
      <c r="I13" s="20" t="n">
        <v>0.08</v>
      </c>
      <c r="J13" s="20" t="n">
        <v>0.08</v>
      </c>
      <c r="K13" s="20" t="n">
        <v>0.08</v>
      </c>
      <c r="L13" s="20" t="n">
        <v>0.08</v>
      </c>
      <c r="M13" s="20" t="n">
        <v>0.08</v>
      </c>
      <c r="N13" s="20" t="n">
        <v>0.08</v>
      </c>
      <c r="O13" s="2" t="s">
        <v>79</v>
      </c>
    </row>
    <row r="14" customFormat="false" ht="15" hidden="false" customHeight="false" outlineLevel="0" collapsed="false">
      <c r="A14" s="4" t="s">
        <v>80</v>
      </c>
      <c r="B14" s="21" t="n">
        <f aca="false">Model!B20</f>
        <v>-3.19</v>
      </c>
      <c r="C14" s="21" t="n">
        <f aca="false">Model!C20</f>
        <v>-10.74</v>
      </c>
      <c r="D14" s="21" t="n">
        <f aca="false">Model!D20</f>
        <v>-30.09</v>
      </c>
      <c r="E14" s="22" t="n">
        <v>-15</v>
      </c>
      <c r="F14" s="22" t="n">
        <v>-15</v>
      </c>
      <c r="G14" s="22" t="n">
        <v>-15</v>
      </c>
      <c r="H14" s="22" t="n">
        <v>-15</v>
      </c>
      <c r="I14" s="22" t="n">
        <v>-15</v>
      </c>
      <c r="J14" s="22" t="n">
        <v>-15</v>
      </c>
      <c r="K14" s="22" t="n">
        <v>-15</v>
      </c>
      <c r="L14" s="22" t="n">
        <v>-15</v>
      </c>
      <c r="M14" s="22" t="n">
        <v>-15</v>
      </c>
      <c r="N14" s="22" t="n">
        <v>-15</v>
      </c>
      <c r="O14" s="2" t="s">
        <v>81</v>
      </c>
    </row>
    <row r="15" customFormat="false" ht="15" hidden="false" customHeight="false" outlineLevel="0" collapsed="false">
      <c r="A15" s="4" t="s">
        <v>82</v>
      </c>
      <c r="B15" s="18" t="n">
        <f aca="false">Model!B23/Model!B22</f>
        <v>0.267464569739863</v>
      </c>
      <c r="C15" s="18" t="n">
        <f aca="false">Model!C23/Model!C22</f>
        <v>0.255831912443577</v>
      </c>
      <c r="D15" s="18" t="n">
        <f aca="false">Model!D23/Model!D22</f>
        <v>0.228586284275628</v>
      </c>
      <c r="E15" s="19" t="n">
        <v>0.252</v>
      </c>
      <c r="F15" s="19" t="n">
        <v>0.252</v>
      </c>
      <c r="G15" s="19" t="n">
        <v>0.252</v>
      </c>
      <c r="H15" s="19" t="n">
        <v>0.252</v>
      </c>
      <c r="I15" s="19" t="n">
        <v>0.252</v>
      </c>
      <c r="J15" s="19" t="n">
        <v>0.252</v>
      </c>
      <c r="K15" s="19" t="n">
        <v>0.252</v>
      </c>
      <c r="L15" s="19" t="n">
        <v>0.252</v>
      </c>
      <c r="M15" s="19" t="n">
        <v>0.252</v>
      </c>
      <c r="N15" s="19" t="n">
        <v>0.252</v>
      </c>
      <c r="O15" s="2" t="s">
        <v>83</v>
      </c>
    </row>
    <row r="16" customFormat="false" ht="15" hidden="false" customHeight="false" outlineLevel="0" collapsed="false">
      <c r="A16" s="4" t="s">
        <v>84</v>
      </c>
      <c r="B16" s="21" t="n">
        <f aca="false">Model!B25</f>
        <v>-5.59</v>
      </c>
      <c r="C16" s="21" t="n">
        <f aca="false">Model!C25</f>
        <v>-0.87</v>
      </c>
      <c r="D16" s="21" t="n">
        <f aca="false">Model!D25</f>
        <v>3.52</v>
      </c>
      <c r="E16" s="22" t="n">
        <v>0</v>
      </c>
      <c r="F16" s="22" t="n">
        <v>0</v>
      </c>
      <c r="G16" s="22" t="n">
        <v>0</v>
      </c>
      <c r="H16" s="22" t="n">
        <v>0</v>
      </c>
      <c r="I16" s="22" t="n">
        <v>0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0</v>
      </c>
      <c r="O16" s="2" t="s">
        <v>85</v>
      </c>
    </row>
    <row r="17" customFormat="false" ht="15" hidden="false" customHeight="false" outlineLevel="0" collapsed="false">
      <c r="A17" s="4" t="s">
        <v>86</v>
      </c>
      <c r="B17" s="23" t="n">
        <f aca="false">Model!B38/Model!B9*365</f>
        <v>45.4218223077677</v>
      </c>
      <c r="C17" s="23" t="n">
        <f aca="false">Model!C38/Model!C9*365</f>
        <v>42.561676906465</v>
      </c>
      <c r="D17" s="23" t="n">
        <f aca="false">Model!D38/Model!D9*365</f>
        <v>44.1273462033185</v>
      </c>
      <c r="E17" s="24" t="n">
        <v>44</v>
      </c>
      <c r="F17" s="24" t="n">
        <v>44</v>
      </c>
      <c r="G17" s="24" t="n">
        <v>44</v>
      </c>
      <c r="H17" s="24" t="n">
        <v>44</v>
      </c>
      <c r="I17" s="24" t="n">
        <v>44</v>
      </c>
      <c r="J17" s="24" t="n">
        <v>44</v>
      </c>
      <c r="K17" s="24" t="n">
        <v>44</v>
      </c>
      <c r="L17" s="24" t="n">
        <v>44</v>
      </c>
      <c r="M17" s="24" t="n">
        <v>44</v>
      </c>
      <c r="N17" s="24" t="n">
        <v>44</v>
      </c>
      <c r="O17" s="2" t="s">
        <v>87</v>
      </c>
    </row>
    <row r="18" customFormat="false" ht="15" hidden="false" customHeight="false" outlineLevel="0" collapsed="false">
      <c r="A18" s="4" t="s">
        <v>88</v>
      </c>
      <c r="B18" s="23" t="n">
        <f aca="false">Model!B39/Model!B8*365</f>
        <v>8.56122240264484</v>
      </c>
      <c r="C18" s="23" t="n">
        <f aca="false">Model!C39/Model!C8*365</f>
        <v>9.12587981610318</v>
      </c>
      <c r="D18" s="23" t="n">
        <f aca="false">Model!D39/Model!D8*365</f>
        <v>8.94242462375187</v>
      </c>
      <c r="E18" s="24" t="n">
        <v>9</v>
      </c>
      <c r="F18" s="24" t="n">
        <v>9</v>
      </c>
      <c r="G18" s="24" t="n">
        <v>9</v>
      </c>
      <c r="H18" s="24" t="n">
        <v>9</v>
      </c>
      <c r="I18" s="24" t="n">
        <v>9</v>
      </c>
      <c r="J18" s="24" t="n">
        <v>9</v>
      </c>
      <c r="K18" s="24" t="n">
        <v>9</v>
      </c>
      <c r="L18" s="24" t="n">
        <v>9</v>
      </c>
      <c r="M18" s="24" t="n">
        <v>9</v>
      </c>
      <c r="N18" s="24" t="n">
        <v>9</v>
      </c>
      <c r="O18" s="2" t="s">
        <v>79</v>
      </c>
    </row>
    <row r="19" customFormat="false" ht="15" hidden="false" customHeight="false" outlineLevel="0" collapsed="false">
      <c r="A19" s="4" t="s">
        <v>89</v>
      </c>
      <c r="B19" s="23" t="n">
        <f aca="false">Model!B43/(Model!B9+Model!B13)*365</f>
        <v>46.0819674293077</v>
      </c>
      <c r="C19" s="23" t="n">
        <f aca="false">Model!C43/(Model!C9+Model!C13)*365</f>
        <v>45.5175529306601</v>
      </c>
      <c r="D19" s="23" t="n">
        <f aca="false">Model!D43/(Model!D9+Model!D13)*365</f>
        <v>46.8222143004026</v>
      </c>
      <c r="E19" s="24" t="n">
        <v>46.5</v>
      </c>
      <c r="F19" s="24" t="n">
        <v>46.5</v>
      </c>
      <c r="G19" s="24" t="n">
        <v>46.5</v>
      </c>
      <c r="H19" s="24" t="n">
        <v>46.5</v>
      </c>
      <c r="I19" s="24" t="n">
        <v>46.5</v>
      </c>
      <c r="J19" s="24" t="n">
        <v>46.5</v>
      </c>
      <c r="K19" s="24" t="n">
        <v>46.5</v>
      </c>
      <c r="L19" s="24" t="n">
        <v>46.5</v>
      </c>
      <c r="M19" s="24" t="n">
        <v>46.5</v>
      </c>
      <c r="N19" s="24" t="n">
        <v>46.5</v>
      </c>
      <c r="O19" s="2" t="s">
        <v>79</v>
      </c>
    </row>
    <row r="20" customFormat="false" ht="15" hidden="false" customHeight="false" outlineLevel="0" collapsed="false">
      <c r="A20" s="4" t="s">
        <v>90</v>
      </c>
      <c r="B20" s="18" t="n">
        <f aca="false">Model!B40/Model!B8</f>
        <v>0.0517172184597183</v>
      </c>
      <c r="C20" s="18" t="n">
        <f aca="false">Model!C40/Model!C8</f>
        <v>0.0505788714834526</v>
      </c>
      <c r="D20" s="18" t="n">
        <f aca="false">Model!D40/Model!D8</f>
        <v>0.0509430287511376</v>
      </c>
      <c r="E20" s="20" t="n">
        <v>0.051</v>
      </c>
      <c r="F20" s="20" t="n">
        <v>0.051</v>
      </c>
      <c r="G20" s="20" t="n">
        <v>0.051</v>
      </c>
      <c r="H20" s="20" t="n">
        <v>0.051</v>
      </c>
      <c r="I20" s="20" t="n">
        <v>0.051</v>
      </c>
      <c r="J20" s="20" t="n">
        <v>0.051</v>
      </c>
      <c r="K20" s="20" t="n">
        <v>0.051</v>
      </c>
      <c r="L20" s="20" t="n">
        <v>0.051</v>
      </c>
      <c r="M20" s="20" t="n">
        <v>0.051</v>
      </c>
      <c r="N20" s="20" t="n">
        <v>0.051</v>
      </c>
      <c r="O20" s="2" t="s">
        <v>87</v>
      </c>
    </row>
    <row r="21" customFormat="false" ht="15" hidden="false" customHeight="false" outlineLevel="0" collapsed="false">
      <c r="A21" s="4" t="s">
        <v>91</v>
      </c>
      <c r="B21" s="18" t="n">
        <f aca="false">Model!B44/Model!B8</f>
        <v>0.0843864998297481</v>
      </c>
      <c r="C21" s="18" t="n">
        <f aca="false">Model!C44/Model!C8</f>
        <v>0.0812861185096755</v>
      </c>
      <c r="D21" s="18" t="n">
        <f aca="false">Model!D44/Model!D8</f>
        <v>0.0688908858220127</v>
      </c>
      <c r="E21" s="20" t="n">
        <v>0.069</v>
      </c>
      <c r="F21" s="20" t="n">
        <v>0.069</v>
      </c>
      <c r="G21" s="20" t="n">
        <v>0.069</v>
      </c>
      <c r="H21" s="20" t="n">
        <v>0.069</v>
      </c>
      <c r="I21" s="20" t="n">
        <v>0.069</v>
      </c>
      <c r="J21" s="20" t="n">
        <v>0.069</v>
      </c>
      <c r="K21" s="20" t="n">
        <v>0.069</v>
      </c>
      <c r="L21" s="20" t="n">
        <v>0.069</v>
      </c>
      <c r="M21" s="20" t="n">
        <v>0.069</v>
      </c>
      <c r="N21" s="20" t="n">
        <v>0.069</v>
      </c>
      <c r="O21" s="2" t="s">
        <v>87</v>
      </c>
    </row>
    <row r="22" customFormat="false" ht="15" hidden="false" customHeight="false" outlineLevel="0" collapsed="false">
      <c r="A22" s="4" t="s">
        <v>92</v>
      </c>
      <c r="C22" s="21" t="n">
        <f aca="false">-(Model!C35-Model!B35)</f>
        <v>-109.45</v>
      </c>
      <c r="D22" s="21" t="n">
        <f aca="false">-(Model!D35-Model!C35)</f>
        <v>-774.42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2" t="n">
        <v>0</v>
      </c>
      <c r="L22" s="22" t="n">
        <v>0</v>
      </c>
      <c r="M22" s="22" t="n">
        <v>0</v>
      </c>
      <c r="N22" s="22" t="n">
        <v>0</v>
      </c>
      <c r="O22" s="2" t="s">
        <v>93</v>
      </c>
    </row>
    <row r="23" customFormat="false" ht="15" hidden="false" customHeight="false" outlineLevel="0" collapsed="false">
      <c r="A23" s="4" t="s">
        <v>94</v>
      </c>
      <c r="C23" s="21" t="n">
        <f aca="false">Model!C45-Model!B45</f>
        <v>-818.45</v>
      </c>
      <c r="D23" s="21" t="n">
        <f aca="false">Model!D45-Model!C45</f>
        <v>133.77</v>
      </c>
      <c r="E23" s="22" t="n">
        <v>0</v>
      </c>
      <c r="F23" s="22" t="n">
        <v>0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22" t="n">
        <v>0</v>
      </c>
      <c r="N23" s="22" t="n">
        <v>0</v>
      </c>
      <c r="O23" s="2" t="s">
        <v>95</v>
      </c>
    </row>
    <row r="24" customFormat="false" ht="15" hidden="false" customHeight="false" outlineLevel="0" collapsed="false">
      <c r="A24" s="4" t="s">
        <v>96</v>
      </c>
      <c r="C24" s="18" t="n">
        <f aca="false">-Historical!C111/Historical!B25</f>
        <v>0.828190158465387</v>
      </c>
      <c r="D24" s="18" t="n">
        <f aca="false">-Historical!D111/Historical!C25</f>
        <v>0.828313114708934</v>
      </c>
      <c r="E24" s="20" t="n">
        <v>0.85</v>
      </c>
      <c r="F24" s="20" t="n">
        <v>0.85</v>
      </c>
      <c r="G24" s="20" t="n">
        <v>0.85</v>
      </c>
      <c r="H24" s="20" t="n">
        <v>0.85</v>
      </c>
      <c r="I24" s="20" t="n">
        <v>0.85</v>
      </c>
      <c r="J24" s="20" t="n">
        <v>0.85</v>
      </c>
      <c r="K24" s="20" t="n">
        <v>0.85</v>
      </c>
      <c r="L24" s="20" t="n">
        <v>0.85</v>
      </c>
      <c r="M24" s="20" t="n">
        <v>0.85</v>
      </c>
      <c r="N24" s="20" t="n">
        <v>0.85</v>
      </c>
      <c r="O24" s="2" t="s">
        <v>97</v>
      </c>
    </row>
    <row r="26" customFormat="false" ht="15" hidden="false" customHeight="false" outlineLevel="0" collapsed="false">
      <c r="A26" s="25" t="s">
        <v>98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customFormat="false" ht="15" hidden="false" customHeight="false" outlineLevel="0" collapsed="false">
      <c r="A27" s="3" t="s">
        <v>99</v>
      </c>
      <c r="B27" s="27" t="n">
        <v>2</v>
      </c>
      <c r="C27" s="3" t="str">
        <f aca="false">CHOOSE(B27,"Bear","Base","Bull")</f>
        <v>Base</v>
      </c>
      <c r="D27" s="2" t="s">
        <v>100</v>
      </c>
    </row>
    <row r="28" customFormat="false" ht="15" hidden="false" customHeight="false" outlineLevel="0" collapsed="false">
      <c r="A28" s="3" t="s">
        <v>101</v>
      </c>
      <c r="B28" s="10" t="s">
        <v>102</v>
      </c>
      <c r="C28" s="10" t="s">
        <v>103</v>
      </c>
      <c r="D28" s="10" t="s">
        <v>104</v>
      </c>
    </row>
    <row r="29" customFormat="false" ht="15" hidden="false" customHeight="false" outlineLevel="0" collapsed="false">
      <c r="A29" s="4" t="s">
        <v>105</v>
      </c>
      <c r="B29" s="20" t="n">
        <v>-0.02</v>
      </c>
      <c r="C29" s="20" t="n">
        <v>0</v>
      </c>
      <c r="D29" s="20" t="n">
        <v>0.015</v>
      </c>
      <c r="E29" s="2" t="s">
        <v>106</v>
      </c>
    </row>
    <row r="30" customFormat="false" ht="15" hidden="false" customHeight="false" outlineLevel="0" collapsed="false">
      <c r="A30" s="4" t="s">
        <v>107</v>
      </c>
      <c r="B30" s="20" t="n">
        <v>0.006</v>
      </c>
      <c r="C30" s="20" t="n">
        <v>0</v>
      </c>
      <c r="D30" s="20" t="n">
        <v>-0.004</v>
      </c>
      <c r="E30" s="2" t="s">
        <v>108</v>
      </c>
    </row>
    <row r="31" customFormat="false" ht="15" hidden="false" customHeight="false" outlineLevel="0" collapsed="false">
      <c r="A31" s="4" t="s">
        <v>109</v>
      </c>
      <c r="B31" s="28" t="n">
        <f aca="false">CHOOSE($B$27,B29,C29,D29)</f>
        <v>0</v>
      </c>
    </row>
    <row r="32" customFormat="false" ht="15" hidden="false" customHeight="false" outlineLevel="0" collapsed="false">
      <c r="A32" s="4" t="s">
        <v>110</v>
      </c>
      <c r="B32" s="28" t="n">
        <f aca="false">CHOOSE($B$27,B30,C30,D30)</f>
        <v>0</v>
      </c>
    </row>
    <row r="34" customFormat="false" ht="15" hidden="false" customHeight="false" outlineLevel="0" collapsed="false">
      <c r="A34" s="25" t="s">
        <v>111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</row>
    <row r="35" customFormat="false" ht="15" hidden="false" customHeight="false" outlineLevel="0" collapsed="false">
      <c r="A35" s="4" t="s">
        <v>112</v>
      </c>
      <c r="B35" s="29" t="n">
        <v>46314</v>
      </c>
      <c r="C35" s="2" t="s">
        <v>113</v>
      </c>
    </row>
    <row r="36" customFormat="false" ht="15" hidden="false" customHeight="false" outlineLevel="0" collapsed="false">
      <c r="A36" s="4" t="s">
        <v>114</v>
      </c>
      <c r="B36" s="29" t="n">
        <v>46477</v>
      </c>
      <c r="C36" s="2" t="s">
        <v>115</v>
      </c>
    </row>
    <row r="37" customFormat="false" ht="15" hidden="false" customHeight="false" outlineLevel="0" collapsed="false">
      <c r="A37" s="4" t="s">
        <v>5</v>
      </c>
      <c r="B37" s="30" t="n">
        <v>4764</v>
      </c>
      <c r="C37" s="2" t="s">
        <v>116</v>
      </c>
    </row>
    <row r="38" customFormat="false" ht="15" hidden="false" customHeight="false" outlineLevel="0" collapsed="false">
      <c r="A38" s="4" t="s">
        <v>117</v>
      </c>
      <c r="B38" s="31" t="n">
        <v>1</v>
      </c>
      <c r="C38" s="2" t="s">
        <v>118</v>
      </c>
    </row>
    <row r="39" customFormat="false" ht="15" hidden="false" customHeight="false" outlineLevel="0" collapsed="false">
      <c r="A39" s="4" t="s">
        <v>119</v>
      </c>
      <c r="B39" s="32" t="n">
        <f aca="false">Historical!D57/B38</f>
        <v>24.09</v>
      </c>
      <c r="C39" s="2" t="s">
        <v>120</v>
      </c>
    </row>
    <row r="40" customFormat="false" ht="15" hidden="false" customHeight="false" outlineLevel="0" collapsed="false">
      <c r="A40" s="4" t="s">
        <v>121</v>
      </c>
      <c r="B40" s="33" t="n">
        <v>0.071</v>
      </c>
      <c r="C40" s="2" t="s">
        <v>122</v>
      </c>
    </row>
    <row r="41" customFormat="false" ht="15" hidden="false" customHeight="false" outlineLevel="0" collapsed="false">
      <c r="A41" s="4" t="s">
        <v>123</v>
      </c>
      <c r="B41" s="34" t="n">
        <v>0.6</v>
      </c>
      <c r="C41" s="2" t="s">
        <v>124</v>
      </c>
    </row>
    <row r="42" customFormat="false" ht="15" hidden="false" customHeight="false" outlineLevel="0" collapsed="false">
      <c r="A42" s="4" t="s">
        <v>125</v>
      </c>
      <c r="B42" s="33" t="n">
        <v>0.055</v>
      </c>
      <c r="C42" s="2" t="s">
        <v>126</v>
      </c>
    </row>
    <row r="43" customFormat="false" ht="15" hidden="false" customHeight="false" outlineLevel="0" collapsed="false">
      <c r="A43" s="4" t="s">
        <v>127</v>
      </c>
      <c r="B43" s="35" t="n">
        <v>0.08</v>
      </c>
      <c r="C43" s="2" t="s">
        <v>128</v>
      </c>
    </row>
    <row r="44" customFormat="false" ht="15" hidden="false" customHeight="false" outlineLevel="0" collapsed="false">
      <c r="A44" s="4" t="s">
        <v>129</v>
      </c>
      <c r="B44" s="33" t="n">
        <v>0.055</v>
      </c>
      <c r="C44" s="2" t="s">
        <v>130</v>
      </c>
    </row>
    <row r="45" customFormat="false" ht="15" hidden="false" customHeight="false" outlineLevel="0" collapsed="false">
      <c r="A45" s="4" t="s">
        <v>131</v>
      </c>
      <c r="B45" s="36" t="n">
        <v>1</v>
      </c>
      <c r="C45" s="2" t="s">
        <v>132</v>
      </c>
    </row>
    <row r="46" customFormat="false" ht="15" hidden="false" customHeight="false" outlineLevel="0" collapsed="false">
      <c r="A46" s="4" t="s">
        <v>133</v>
      </c>
      <c r="B46" s="31" t="n">
        <v>108.11</v>
      </c>
      <c r="C46" s="2" t="s">
        <v>134</v>
      </c>
    </row>
    <row r="47" customFormat="false" ht="15" hidden="false" customHeight="false" outlineLevel="0" collapsed="false">
      <c r="A47" s="4" t="s">
        <v>135</v>
      </c>
      <c r="B47" s="31" t="n">
        <v>4734</v>
      </c>
      <c r="C47" s="2" t="s">
        <v>136</v>
      </c>
    </row>
    <row r="48" customFormat="false" ht="15" hidden="false" customHeight="false" outlineLevel="0" collapsed="false">
      <c r="A48" s="4" t="s">
        <v>137</v>
      </c>
      <c r="B48" s="31" t="n">
        <v>6271</v>
      </c>
      <c r="C48" s="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3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15" hidden="false" customHeight="false" outlineLevel="0" collapsed="false">
      <c r="A4" s="16" t="s">
        <v>140</v>
      </c>
      <c r="B4" s="17" t="s">
        <v>48</v>
      </c>
      <c r="C4" s="17" t="s">
        <v>49</v>
      </c>
      <c r="D4" s="17" t="s">
        <v>50</v>
      </c>
      <c r="E4" s="17" t="s">
        <v>141</v>
      </c>
    </row>
    <row r="5" customFormat="false" ht="15" hidden="false" customHeight="false" outlineLevel="0" collapsed="false">
      <c r="A5" s="25" t="s">
        <v>142</v>
      </c>
      <c r="B5" s="26"/>
      <c r="C5" s="26"/>
      <c r="D5" s="26"/>
      <c r="E5" s="26"/>
    </row>
    <row r="6" customFormat="false" ht="15" hidden="false" customHeight="false" outlineLevel="0" collapsed="false">
      <c r="A6" s="4" t="s">
        <v>143</v>
      </c>
      <c r="B6" s="22" t="n">
        <v>16546.21</v>
      </c>
      <c r="C6" s="22" t="n">
        <v>17535.02</v>
      </c>
      <c r="D6" s="22" t="n">
        <v>18858.21</v>
      </c>
      <c r="E6" s="2" t="s">
        <v>144</v>
      </c>
    </row>
    <row r="7" customFormat="false" ht="15" hidden="false" customHeight="false" outlineLevel="0" collapsed="false">
      <c r="A7" s="4" t="s">
        <v>145</v>
      </c>
      <c r="B7" s="22" t="n">
        <v>223.06</v>
      </c>
      <c r="C7" s="22" t="n">
        <v>407.65</v>
      </c>
      <c r="D7" s="22" t="n">
        <v>293.38</v>
      </c>
    </row>
    <row r="8" customFormat="false" ht="15" hidden="false" customHeight="false" outlineLevel="0" collapsed="false">
      <c r="A8" s="3" t="s">
        <v>146</v>
      </c>
      <c r="B8" s="37" t="n">
        <f aca="false">B6+B7</f>
        <v>16769.27</v>
      </c>
      <c r="C8" s="37" t="n">
        <f aca="false">C6+C7</f>
        <v>17942.67</v>
      </c>
      <c r="D8" s="37" t="n">
        <f aca="false">D6+D7</f>
        <v>19151.59</v>
      </c>
    </row>
    <row r="9" customFormat="false" ht="15" hidden="false" customHeight="false" outlineLevel="0" collapsed="false">
      <c r="A9" s="4" t="s">
        <v>147</v>
      </c>
      <c r="B9" s="22" t="n">
        <v>214.18</v>
      </c>
      <c r="C9" s="22" t="n">
        <v>227.09</v>
      </c>
      <c r="D9" s="22" t="n">
        <v>224.03</v>
      </c>
    </row>
    <row r="10" customFormat="false" ht="15" hidden="false" customHeight="false" outlineLevel="0" collapsed="false">
      <c r="A10" s="4" t="s">
        <v>148</v>
      </c>
      <c r="B10" s="22" t="n">
        <v>8546.89</v>
      </c>
      <c r="C10" s="22" t="n">
        <v>9859.45</v>
      </c>
      <c r="D10" s="22" t="n">
        <v>10350.02</v>
      </c>
    </row>
    <row r="11" customFormat="false" ht="15" hidden="false" customHeight="false" outlineLevel="0" collapsed="false">
      <c r="A11" s="4" t="s">
        <v>149</v>
      </c>
      <c r="B11" s="22" t="n">
        <v>941.48</v>
      </c>
      <c r="C11" s="22" t="n">
        <v>809.35</v>
      </c>
      <c r="D11" s="22" t="n">
        <v>805.23</v>
      </c>
    </row>
    <row r="12" customFormat="false" ht="15" hidden="false" customHeight="false" outlineLevel="0" collapsed="false">
      <c r="A12" s="4" t="s">
        <v>150</v>
      </c>
      <c r="B12" s="22" t="n">
        <v>3.66</v>
      </c>
      <c r="C12" s="22" t="n">
        <v>-64.75</v>
      </c>
      <c r="D12" s="22" t="n">
        <v>-22.37</v>
      </c>
    </row>
    <row r="13" customFormat="false" ht="15" hidden="false" customHeight="false" outlineLevel="0" collapsed="false">
      <c r="A13" s="4" t="s">
        <v>151</v>
      </c>
      <c r="B13" s="22" t="n">
        <v>708.7</v>
      </c>
      <c r="C13" s="22" t="n">
        <v>704.59</v>
      </c>
      <c r="D13" s="22" t="n">
        <v>823.8</v>
      </c>
      <c r="E13" s="2" t="s">
        <v>152</v>
      </c>
    </row>
    <row r="14" customFormat="false" ht="15" hidden="false" customHeight="false" outlineLevel="0" collapsed="false">
      <c r="A14" s="4" t="s">
        <v>153</v>
      </c>
      <c r="B14" s="22" t="n">
        <v>164</v>
      </c>
      <c r="C14" s="22" t="n">
        <v>138.8</v>
      </c>
      <c r="D14" s="22" t="n">
        <v>112.76</v>
      </c>
    </row>
    <row r="15" customFormat="false" ht="15" hidden="false" customHeight="false" outlineLevel="0" collapsed="false">
      <c r="A15" s="4" t="s">
        <v>154</v>
      </c>
      <c r="B15" s="22" t="n">
        <v>300.46</v>
      </c>
      <c r="C15" s="22" t="n">
        <v>313.34</v>
      </c>
      <c r="D15" s="22" t="n">
        <v>336.83</v>
      </c>
    </row>
    <row r="16" customFormat="false" ht="15" hidden="false" customHeight="false" outlineLevel="0" collapsed="false">
      <c r="A16" s="4" t="s">
        <v>155</v>
      </c>
      <c r="B16" s="22" t="n">
        <v>3398.7</v>
      </c>
      <c r="C16" s="22" t="n">
        <v>3446.88</v>
      </c>
      <c r="D16" s="22" t="n">
        <v>3650.48</v>
      </c>
    </row>
    <row r="17" customFormat="false" ht="15" hidden="false" customHeight="false" outlineLevel="0" collapsed="false">
      <c r="A17" s="3" t="s">
        <v>156</v>
      </c>
      <c r="B17" s="37" t="n">
        <f aca="false">SUM(B10:B16)</f>
        <v>14063.89</v>
      </c>
      <c r="C17" s="37" t="n">
        <f aca="false">SUM(C10:C16)</f>
        <v>15207.66</v>
      </c>
      <c r="D17" s="37" t="n">
        <f aca="false">SUM(D10:D16)</f>
        <v>16056.75</v>
      </c>
    </row>
    <row r="18" customFormat="false" ht="15" hidden="false" customHeight="false" outlineLevel="0" collapsed="false">
      <c r="A18" s="4" t="s">
        <v>157</v>
      </c>
      <c r="B18" s="38" t="n">
        <f aca="false">B8+B9-B17</f>
        <v>2919.56</v>
      </c>
      <c r="C18" s="38" t="n">
        <f aca="false">C8+C9-C17</f>
        <v>2962.1</v>
      </c>
      <c r="D18" s="38" t="n">
        <f aca="false">D8+D9-D17</f>
        <v>3318.87</v>
      </c>
    </row>
    <row r="19" customFormat="false" ht="15" hidden="false" customHeight="false" outlineLevel="0" collapsed="false">
      <c r="A19" s="4" t="s">
        <v>158</v>
      </c>
      <c r="B19" s="22" t="n">
        <v>-3.19</v>
      </c>
      <c r="C19" s="22" t="n">
        <v>-10.74</v>
      </c>
      <c r="D19" s="22" t="n">
        <v>-30.09</v>
      </c>
    </row>
    <row r="20" customFormat="false" ht="15" hidden="false" customHeight="false" outlineLevel="0" collapsed="false">
      <c r="A20" s="4" t="s">
        <v>159</v>
      </c>
      <c r="B20" s="22" t="n">
        <v>2.9</v>
      </c>
      <c r="C20" s="22" t="n">
        <v>24.79</v>
      </c>
      <c r="D20" s="22" t="n">
        <v>0</v>
      </c>
      <c r="E20" s="2" t="s">
        <v>160</v>
      </c>
    </row>
    <row r="21" customFormat="false" ht="15" hidden="false" customHeight="false" outlineLevel="0" collapsed="false">
      <c r="A21" s="3" t="s">
        <v>161</v>
      </c>
      <c r="B21" s="37" t="n">
        <f aca="false">B18+B19-B20</f>
        <v>2913.47</v>
      </c>
      <c r="C21" s="37" t="n">
        <f aca="false">C18+C19-C20</f>
        <v>2926.57</v>
      </c>
      <c r="D21" s="37" t="n">
        <f aca="false">D18+D19-D20</f>
        <v>3288.78</v>
      </c>
    </row>
    <row r="22" customFormat="false" ht="15" hidden="false" customHeight="false" outlineLevel="0" collapsed="false">
      <c r="A22" s="4" t="s">
        <v>162</v>
      </c>
      <c r="B22" s="22" t="n">
        <v>765.69</v>
      </c>
      <c r="C22" s="22" t="n">
        <v>741.68</v>
      </c>
      <c r="D22" s="22" t="n">
        <v>758.37</v>
      </c>
      <c r="E22" s="2" t="s">
        <v>163</v>
      </c>
    </row>
    <row r="23" customFormat="false" ht="15" hidden="false" customHeight="false" outlineLevel="0" collapsed="false">
      <c r="A23" s="4" t="s">
        <v>164</v>
      </c>
      <c r="B23" s="22" t="n">
        <v>13.56</v>
      </c>
      <c r="C23" s="22" t="n">
        <v>7.03</v>
      </c>
      <c r="D23" s="22" t="n">
        <v>-6.6</v>
      </c>
    </row>
    <row r="24" customFormat="false" ht="15" hidden="false" customHeight="false" outlineLevel="0" collapsed="false">
      <c r="A24" s="4" t="s">
        <v>165</v>
      </c>
      <c r="B24" s="38" t="n">
        <f aca="false">B22+B23</f>
        <v>779.25</v>
      </c>
      <c r="C24" s="38" t="n">
        <f aca="false">C22+C23</f>
        <v>748.71</v>
      </c>
      <c r="D24" s="38" t="n">
        <f aca="false">D22+D23</f>
        <v>751.77</v>
      </c>
    </row>
    <row r="25" customFormat="false" ht="15" hidden="false" customHeight="false" outlineLevel="0" collapsed="false">
      <c r="A25" s="3" t="s">
        <v>166</v>
      </c>
      <c r="B25" s="37" t="n">
        <f aca="false">B21-B24</f>
        <v>2134.22</v>
      </c>
      <c r="C25" s="37" t="n">
        <f aca="false">C21-C24</f>
        <v>2177.86</v>
      </c>
      <c r="D25" s="37" t="n">
        <f aca="false">D21-D24</f>
        <v>2537.01</v>
      </c>
    </row>
    <row r="26" customFormat="false" ht="15" hidden="false" customHeight="false" outlineLevel="0" collapsed="false">
      <c r="A26" s="4" t="s">
        <v>167</v>
      </c>
      <c r="B26" s="22" t="n">
        <v>-5.59</v>
      </c>
      <c r="C26" s="22" t="n">
        <v>-0.87</v>
      </c>
      <c r="D26" s="22" t="n">
        <v>3.52</v>
      </c>
    </row>
    <row r="27" customFormat="false" ht="15" hidden="false" customHeight="false" outlineLevel="0" collapsed="false">
      <c r="A27" s="4" t="s">
        <v>168</v>
      </c>
      <c r="B27" s="38" t="n">
        <f aca="false">B25-B26</f>
        <v>2139.81</v>
      </c>
      <c r="C27" s="38" t="n">
        <f aca="false">C25-C26</f>
        <v>2178.73</v>
      </c>
      <c r="D27" s="38" t="n">
        <f aca="false">D25-D26</f>
        <v>2533.49</v>
      </c>
    </row>
    <row r="28" customFormat="false" ht="15" hidden="false" customHeight="false" outlineLevel="0" collapsed="false">
      <c r="A28" s="4" t="s">
        <v>169</v>
      </c>
      <c r="B28" s="31" t="n">
        <v>88.84</v>
      </c>
      <c r="C28" s="31" t="n">
        <v>90.45</v>
      </c>
      <c r="D28" s="31" t="n">
        <v>105.18</v>
      </c>
    </row>
    <row r="30" customFormat="false" ht="15" hidden="false" customHeight="false" outlineLevel="0" collapsed="false">
      <c r="A30" s="25" t="s">
        <v>170</v>
      </c>
      <c r="B30" s="26"/>
      <c r="C30" s="26"/>
      <c r="D30" s="26"/>
      <c r="E30" s="26"/>
    </row>
    <row r="31" customFormat="false" ht="15" hidden="false" customHeight="false" outlineLevel="0" collapsed="false">
      <c r="A31" s="4" t="s">
        <v>171</v>
      </c>
      <c r="B31" s="22" t="n">
        <v>2602.94</v>
      </c>
      <c r="C31" s="22" t="n">
        <v>2734.61</v>
      </c>
      <c r="D31" s="22" t="n">
        <v>2672.98</v>
      </c>
      <c r="E31" s="2" t="s">
        <v>172</v>
      </c>
    </row>
    <row r="32" customFormat="false" ht="15" hidden="false" customHeight="false" outlineLevel="0" collapsed="false">
      <c r="A32" s="4" t="s">
        <v>173</v>
      </c>
      <c r="B32" s="22" t="n">
        <v>187.54</v>
      </c>
      <c r="C32" s="22" t="n">
        <v>89.2</v>
      </c>
      <c r="D32" s="22" t="n">
        <v>39.04</v>
      </c>
    </row>
    <row r="33" customFormat="false" ht="15" hidden="false" customHeight="false" outlineLevel="0" collapsed="false">
      <c r="A33" s="4" t="s">
        <v>174</v>
      </c>
      <c r="B33" s="22" t="n">
        <v>27.48</v>
      </c>
      <c r="C33" s="22" t="n">
        <v>28.9</v>
      </c>
      <c r="D33" s="22" t="n">
        <v>27.9</v>
      </c>
    </row>
    <row r="34" customFormat="false" ht="15" hidden="false" customHeight="false" outlineLevel="0" collapsed="false">
      <c r="A34" s="4" t="s">
        <v>175</v>
      </c>
      <c r="B34" s="22" t="n">
        <v>129.82</v>
      </c>
      <c r="C34" s="22" t="n">
        <v>132.78</v>
      </c>
      <c r="D34" s="22" t="n">
        <v>143.95</v>
      </c>
    </row>
    <row r="35" customFormat="false" ht="15" hidden="false" customHeight="false" outlineLevel="0" collapsed="false">
      <c r="A35" s="4" t="s">
        <v>176</v>
      </c>
      <c r="B35" s="22" t="n">
        <v>10.9</v>
      </c>
      <c r="C35" s="22" t="n">
        <v>7.51</v>
      </c>
      <c r="D35" s="22" t="n">
        <v>5.09</v>
      </c>
    </row>
    <row r="36" customFormat="false" ht="15" hidden="false" customHeight="false" outlineLevel="0" collapsed="false">
      <c r="A36" s="4" t="s">
        <v>177</v>
      </c>
      <c r="B36" s="22" t="n">
        <v>494.36</v>
      </c>
      <c r="C36" s="22" t="n">
        <v>483.62</v>
      </c>
      <c r="D36" s="22" t="n">
        <v>453.53</v>
      </c>
    </row>
    <row r="37" customFormat="false" ht="15" hidden="false" customHeight="false" outlineLevel="0" collapsed="false">
      <c r="A37" s="4" t="s">
        <v>178</v>
      </c>
      <c r="B37" s="22" t="n">
        <v>575.85</v>
      </c>
      <c r="C37" s="22" t="n">
        <v>1270.17</v>
      </c>
      <c r="D37" s="22" t="n">
        <v>1517.71</v>
      </c>
    </row>
    <row r="38" customFormat="false" ht="15" hidden="false" customHeight="false" outlineLevel="0" collapsed="false">
      <c r="A38" s="4" t="s">
        <v>179</v>
      </c>
      <c r="B38" s="22" t="n">
        <v>0</v>
      </c>
      <c r="C38" s="22" t="n">
        <v>25</v>
      </c>
      <c r="D38" s="22" t="n">
        <v>25</v>
      </c>
    </row>
    <row r="39" customFormat="false" ht="15" hidden="false" customHeight="false" outlineLevel="0" collapsed="false">
      <c r="A39" s="4" t="s">
        <v>180</v>
      </c>
      <c r="B39" s="22" t="n">
        <v>25.5</v>
      </c>
      <c r="C39" s="22" t="n">
        <v>28.19</v>
      </c>
      <c r="D39" s="22" t="n">
        <v>30.99</v>
      </c>
    </row>
    <row r="40" customFormat="false" ht="15" hidden="false" customHeight="false" outlineLevel="0" collapsed="false">
      <c r="A40" s="4" t="s">
        <v>181</v>
      </c>
      <c r="B40" s="22" t="n">
        <v>43.88</v>
      </c>
      <c r="C40" s="22" t="n">
        <v>36.59</v>
      </c>
      <c r="D40" s="22" t="n">
        <v>43.01</v>
      </c>
    </row>
    <row r="41" customFormat="false" ht="15" hidden="false" customHeight="false" outlineLevel="0" collapsed="false">
      <c r="A41" s="4" t="s">
        <v>182</v>
      </c>
      <c r="B41" s="22" t="n">
        <v>67.95</v>
      </c>
      <c r="C41" s="22" t="n">
        <v>46.26</v>
      </c>
      <c r="D41" s="22" t="n">
        <v>69.31</v>
      </c>
    </row>
    <row r="42" customFormat="false" ht="15" hidden="false" customHeight="false" outlineLevel="0" collapsed="false">
      <c r="A42" s="4" t="s">
        <v>183</v>
      </c>
      <c r="B42" s="22" t="n">
        <v>58.68</v>
      </c>
      <c r="C42" s="22" t="n">
        <v>42.04</v>
      </c>
      <c r="D42" s="22" t="n">
        <v>25.77</v>
      </c>
    </row>
    <row r="43" customFormat="false" ht="15" hidden="false" customHeight="false" outlineLevel="0" collapsed="false">
      <c r="A43" s="3" t="s">
        <v>184</v>
      </c>
      <c r="B43" s="37" t="n">
        <f aca="false">SUM(B31:B42)</f>
        <v>4224.9</v>
      </c>
      <c r="C43" s="37" t="n">
        <f aca="false">SUM(C31:C42)</f>
        <v>4924.87</v>
      </c>
      <c r="D43" s="37" t="n">
        <f aca="false">SUM(D31:D42)</f>
        <v>5054.28</v>
      </c>
    </row>
    <row r="44" customFormat="false" ht="15" hidden="false" customHeight="false" outlineLevel="0" collapsed="false">
      <c r="A44" s="4" t="s">
        <v>185</v>
      </c>
      <c r="B44" s="22" t="n">
        <v>1181.22</v>
      </c>
      <c r="C44" s="22" t="n">
        <v>1236.51</v>
      </c>
      <c r="D44" s="22" t="n">
        <v>1345.93</v>
      </c>
    </row>
    <row r="45" customFormat="false" ht="15" hidden="false" customHeight="false" outlineLevel="0" collapsed="false">
      <c r="A45" s="4" t="s">
        <v>186</v>
      </c>
      <c r="B45" s="22" t="n">
        <v>1696.51</v>
      </c>
      <c r="C45" s="22" t="n">
        <v>1111.64</v>
      </c>
      <c r="D45" s="22" t="n">
        <v>1638.52</v>
      </c>
    </row>
    <row r="46" customFormat="false" ht="15" hidden="false" customHeight="false" outlineLevel="0" collapsed="false">
      <c r="A46" s="4" t="s">
        <v>187</v>
      </c>
      <c r="B46" s="22" t="n">
        <v>393.33</v>
      </c>
      <c r="C46" s="22" t="n">
        <v>448.61</v>
      </c>
      <c r="D46" s="22" t="n">
        <v>469.21</v>
      </c>
    </row>
    <row r="47" customFormat="false" ht="15" hidden="false" customHeight="false" outlineLevel="0" collapsed="false">
      <c r="A47" s="4" t="s">
        <v>188</v>
      </c>
      <c r="B47" s="22" t="n">
        <v>322.8</v>
      </c>
      <c r="C47" s="22" t="n">
        <v>132.78</v>
      </c>
      <c r="D47" s="22" t="n">
        <v>220</v>
      </c>
    </row>
    <row r="48" customFormat="false" ht="15" hidden="false" customHeight="false" outlineLevel="0" collapsed="false">
      <c r="A48" s="4" t="s">
        <v>189</v>
      </c>
      <c r="B48" s="22" t="n">
        <v>123.55</v>
      </c>
      <c r="C48" s="22" t="n">
        <v>179.7</v>
      </c>
      <c r="D48" s="22" t="n">
        <v>132.44</v>
      </c>
    </row>
    <row r="49" customFormat="false" ht="15" hidden="false" customHeight="false" outlineLevel="0" collapsed="false">
      <c r="A49" s="4" t="s">
        <v>190</v>
      </c>
      <c r="B49" s="22" t="n">
        <v>460</v>
      </c>
      <c r="C49" s="22" t="n">
        <v>50</v>
      </c>
      <c r="D49" s="22" t="n">
        <v>65</v>
      </c>
    </row>
    <row r="50" customFormat="false" ht="15" hidden="false" customHeight="false" outlineLevel="0" collapsed="false">
      <c r="A50" s="4" t="s">
        <v>191</v>
      </c>
      <c r="B50" s="22" t="n">
        <v>531.13</v>
      </c>
      <c r="C50" s="22" t="n">
        <v>630.46</v>
      </c>
      <c r="D50" s="22" t="n">
        <v>664.53</v>
      </c>
    </row>
    <row r="51" customFormat="false" ht="15" hidden="false" customHeight="false" outlineLevel="0" collapsed="false">
      <c r="A51" s="4" t="s">
        <v>192</v>
      </c>
      <c r="B51" s="22" t="n">
        <v>133.71</v>
      </c>
      <c r="C51" s="22" t="n">
        <v>123.98</v>
      </c>
      <c r="D51" s="22" t="n">
        <v>142.03</v>
      </c>
    </row>
    <row r="52" customFormat="false" ht="15" hidden="false" customHeight="false" outlineLevel="0" collapsed="false">
      <c r="A52" s="4" t="s">
        <v>193</v>
      </c>
      <c r="B52" s="22" t="n">
        <v>6.41</v>
      </c>
      <c r="C52" s="22" t="n">
        <v>0</v>
      </c>
      <c r="D52" s="22" t="n">
        <v>0</v>
      </c>
    </row>
    <row r="53" customFormat="false" ht="15" hidden="false" customHeight="false" outlineLevel="0" collapsed="false">
      <c r="A53" s="3" t="s">
        <v>194</v>
      </c>
      <c r="B53" s="37" t="n">
        <f aca="false">SUM(B44:B52)</f>
        <v>4848.66</v>
      </c>
      <c r="C53" s="37" t="n">
        <f aca="false">SUM(C44:C52)</f>
        <v>3913.68</v>
      </c>
      <c r="D53" s="37" t="n">
        <f aca="false">SUM(D44:D52)</f>
        <v>4677.66</v>
      </c>
    </row>
    <row r="54" customFormat="false" ht="15" hidden="false" customHeight="false" outlineLevel="0" collapsed="false">
      <c r="A54" s="3" t="s">
        <v>195</v>
      </c>
      <c r="B54" s="37" t="n">
        <f aca="false">B43+B53</f>
        <v>9073.56</v>
      </c>
      <c r="C54" s="37" t="n">
        <f aca="false">C43+C53</f>
        <v>8838.55</v>
      </c>
      <c r="D54" s="37" t="n">
        <f aca="false">D43+D53</f>
        <v>9731.94</v>
      </c>
    </row>
    <row r="56" customFormat="false" ht="15" hidden="false" customHeight="false" outlineLevel="0" collapsed="false">
      <c r="A56" s="25" t="s">
        <v>196</v>
      </c>
      <c r="B56" s="26"/>
      <c r="C56" s="26"/>
      <c r="D56" s="26"/>
      <c r="E56" s="26"/>
    </row>
    <row r="57" customFormat="false" ht="15" hidden="false" customHeight="false" outlineLevel="0" collapsed="false">
      <c r="A57" s="4" t="s">
        <v>197</v>
      </c>
      <c r="B57" s="22" t="n">
        <v>24.09</v>
      </c>
      <c r="C57" s="22" t="n">
        <v>24.09</v>
      </c>
      <c r="D57" s="22" t="n">
        <v>24.09</v>
      </c>
    </row>
    <row r="58" customFormat="false" ht="15" hidden="false" customHeight="false" outlineLevel="0" collapsed="false">
      <c r="A58" s="4" t="s">
        <v>198</v>
      </c>
      <c r="B58" s="22" t="n">
        <v>3917.43</v>
      </c>
      <c r="C58" s="22" t="n">
        <v>4331.63</v>
      </c>
      <c r="D58" s="22" t="n">
        <v>5082.47</v>
      </c>
    </row>
    <row r="59" customFormat="false" ht="15" hidden="false" customHeight="false" outlineLevel="0" collapsed="false">
      <c r="A59" s="4" t="s">
        <v>199</v>
      </c>
      <c r="B59" s="22" t="n">
        <v>24.5</v>
      </c>
      <c r="C59" s="22" t="n">
        <v>25.6</v>
      </c>
      <c r="D59" s="22" t="n">
        <v>29.32</v>
      </c>
    </row>
    <row r="60" customFormat="false" ht="15" hidden="false" customHeight="false" outlineLevel="0" collapsed="false">
      <c r="A60" s="3" t="s">
        <v>200</v>
      </c>
      <c r="B60" s="37" t="n">
        <f aca="false">B57+B58+B59</f>
        <v>3966.02</v>
      </c>
      <c r="C60" s="37" t="n">
        <f aca="false">C57+C58+C59</f>
        <v>4381.32</v>
      </c>
      <c r="D60" s="37" t="n">
        <f aca="false">D57+D58+D59</f>
        <v>5135.88</v>
      </c>
    </row>
    <row r="61" customFormat="false" ht="15" hidden="false" customHeight="false" outlineLevel="0" collapsed="false">
      <c r="A61" s="4" t="s">
        <v>201</v>
      </c>
      <c r="B61" s="22" t="n">
        <v>904.72</v>
      </c>
      <c r="C61" s="22" t="n">
        <v>712.94</v>
      </c>
      <c r="D61" s="22" t="n">
        <v>286.11</v>
      </c>
    </row>
    <row r="62" customFormat="false" ht="15" hidden="false" customHeight="false" outlineLevel="0" collapsed="false">
      <c r="A62" s="4" t="s">
        <v>202</v>
      </c>
      <c r="B62" s="22" t="n">
        <v>20.13</v>
      </c>
      <c r="C62" s="22" t="n">
        <v>19.45</v>
      </c>
      <c r="D62" s="22" t="n">
        <v>19.31</v>
      </c>
    </row>
    <row r="63" customFormat="false" ht="15" hidden="false" customHeight="false" outlineLevel="0" collapsed="false">
      <c r="A63" s="4" t="s">
        <v>203</v>
      </c>
      <c r="B63" s="22" t="n">
        <v>65.66</v>
      </c>
      <c r="C63" s="22" t="n">
        <v>72.21</v>
      </c>
      <c r="D63" s="22" t="n">
        <v>72.95</v>
      </c>
    </row>
    <row r="64" customFormat="false" ht="15" hidden="false" customHeight="false" outlineLevel="0" collapsed="false">
      <c r="A64" s="4" t="s">
        <v>204</v>
      </c>
      <c r="B64" s="22" t="n">
        <v>2.06</v>
      </c>
      <c r="C64" s="22" t="n">
        <v>1.8</v>
      </c>
      <c r="D64" s="22" t="n">
        <v>1.62</v>
      </c>
    </row>
    <row r="65" customFormat="false" ht="15" hidden="false" customHeight="false" outlineLevel="0" collapsed="false">
      <c r="A65" s="4" t="s">
        <v>205</v>
      </c>
      <c r="B65" s="22" t="n">
        <v>30.56</v>
      </c>
      <c r="C65" s="22" t="n">
        <v>32.57</v>
      </c>
      <c r="D65" s="22" t="n">
        <v>36.08</v>
      </c>
    </row>
    <row r="66" customFormat="false" ht="15" hidden="false" customHeight="false" outlineLevel="0" collapsed="false">
      <c r="A66" s="3" t="s">
        <v>206</v>
      </c>
      <c r="B66" s="37" t="n">
        <f aca="false">SUM(B61:B65)</f>
        <v>1023.13</v>
      </c>
      <c r="C66" s="37" t="n">
        <f aca="false">SUM(C61:C65)</f>
        <v>838.97</v>
      </c>
      <c r="D66" s="37" t="n">
        <f aca="false">SUM(D61:D65)</f>
        <v>416.07</v>
      </c>
    </row>
    <row r="67" customFormat="false" ht="15" hidden="false" customHeight="false" outlineLevel="0" collapsed="false">
      <c r="A67" s="4" t="s">
        <v>207</v>
      </c>
      <c r="B67" s="22" t="n">
        <v>1136.49</v>
      </c>
      <c r="C67" s="22" t="n">
        <v>511.83</v>
      </c>
      <c r="D67" s="22" t="n">
        <v>1071.72</v>
      </c>
    </row>
    <row r="68" customFormat="false" ht="15" hidden="false" customHeight="false" outlineLevel="0" collapsed="false">
      <c r="A68" s="4" t="s">
        <v>208</v>
      </c>
      <c r="B68" s="22" t="n">
        <v>3.62</v>
      </c>
      <c r="C68" s="22" t="n">
        <v>2.29</v>
      </c>
      <c r="D68" s="22" t="n">
        <v>3.14</v>
      </c>
    </row>
    <row r="69" customFormat="false" ht="15" hidden="false" customHeight="false" outlineLevel="0" collapsed="false">
      <c r="A69" s="4" t="s">
        <v>209</v>
      </c>
      <c r="B69" s="22" t="n">
        <v>30.83</v>
      </c>
      <c r="C69" s="22" t="n">
        <v>27.83</v>
      </c>
      <c r="D69" s="22" t="n">
        <v>21.41</v>
      </c>
    </row>
    <row r="70" customFormat="false" ht="15" hidden="false" customHeight="false" outlineLevel="0" collapsed="false">
      <c r="A70" s="4" t="s">
        <v>210</v>
      </c>
      <c r="B70" s="22" t="n">
        <v>1596.65</v>
      </c>
      <c r="C70" s="22" t="n">
        <v>1724.4</v>
      </c>
      <c r="D70" s="22" t="n">
        <v>1875</v>
      </c>
    </row>
    <row r="71" customFormat="false" ht="15" hidden="false" customHeight="false" outlineLevel="0" collapsed="false">
      <c r="A71" s="4" t="s">
        <v>211</v>
      </c>
      <c r="B71" s="22" t="n">
        <v>497.4</v>
      </c>
      <c r="C71" s="22" t="n">
        <v>429.34</v>
      </c>
      <c r="D71" s="22" t="n">
        <v>442.81</v>
      </c>
    </row>
    <row r="72" customFormat="false" ht="15" hidden="false" customHeight="false" outlineLevel="0" collapsed="false">
      <c r="A72" s="4" t="s">
        <v>212</v>
      </c>
      <c r="B72" s="22" t="n">
        <v>167.29</v>
      </c>
      <c r="C72" s="22" t="n">
        <v>194.7</v>
      </c>
      <c r="D72" s="22" t="n">
        <v>88.67</v>
      </c>
    </row>
    <row r="73" customFormat="false" ht="15" hidden="false" customHeight="false" outlineLevel="0" collapsed="false">
      <c r="A73" s="4" t="s">
        <v>213</v>
      </c>
      <c r="B73" s="22" t="n">
        <v>559.2</v>
      </c>
      <c r="C73" s="22" t="n">
        <v>604.66</v>
      </c>
      <c r="D73" s="22" t="n">
        <v>594.52</v>
      </c>
    </row>
    <row r="74" customFormat="false" ht="15" hidden="false" customHeight="false" outlineLevel="0" collapsed="false">
      <c r="A74" s="4" t="s">
        <v>214</v>
      </c>
      <c r="B74" s="22" t="n">
        <v>92.93</v>
      </c>
      <c r="C74" s="22" t="n">
        <v>123.21</v>
      </c>
      <c r="D74" s="22" t="n">
        <v>82.72</v>
      </c>
    </row>
    <row r="75" customFormat="false" ht="15" hidden="false" customHeight="false" outlineLevel="0" collapsed="false">
      <c r="A75" s="3" t="s">
        <v>215</v>
      </c>
      <c r="B75" s="37" t="n">
        <f aca="false">SUM(B67:B74)</f>
        <v>4084.41</v>
      </c>
      <c r="C75" s="37" t="n">
        <f aca="false">SUM(C67:C74)</f>
        <v>3618.26</v>
      </c>
      <c r="D75" s="37" t="n">
        <f aca="false">SUM(D67:D74)</f>
        <v>4179.99</v>
      </c>
    </row>
    <row r="76" customFormat="false" ht="15" hidden="false" customHeight="false" outlineLevel="0" collapsed="false">
      <c r="A76" s="3" t="s">
        <v>216</v>
      </c>
      <c r="B76" s="37" t="n">
        <f aca="false">B60+B66+B75</f>
        <v>9073.56</v>
      </c>
      <c r="C76" s="37" t="n">
        <f aca="false">C60+C66+C75</f>
        <v>8838.55</v>
      </c>
      <c r="D76" s="37" t="n">
        <f aca="false">D60+D66+D75</f>
        <v>9731.94</v>
      </c>
    </row>
    <row r="78" customFormat="false" ht="15" hidden="false" customHeight="false" outlineLevel="0" collapsed="false">
      <c r="A78" s="25" t="s">
        <v>217</v>
      </c>
      <c r="B78" s="26"/>
      <c r="C78" s="26"/>
      <c r="D78" s="26"/>
      <c r="E78" s="26"/>
    </row>
    <row r="79" customFormat="false" ht="15" hidden="false" customHeight="false" outlineLevel="0" collapsed="false">
      <c r="A79" s="4" t="s">
        <v>218</v>
      </c>
      <c r="B79" s="22" t="n">
        <v>2916.66</v>
      </c>
      <c r="C79" s="22" t="n">
        <v>2937.31</v>
      </c>
      <c r="D79" s="22" t="n">
        <v>3318.87</v>
      </c>
      <c r="E79" s="2" t="s">
        <v>219</v>
      </c>
    </row>
    <row r="80" customFormat="false" ht="15" hidden="false" customHeight="false" outlineLevel="0" collapsed="false">
      <c r="A80" s="4" t="s">
        <v>154</v>
      </c>
      <c r="B80" s="22" t="n">
        <v>300.46</v>
      </c>
      <c r="C80" s="22" t="n">
        <v>313.34</v>
      </c>
      <c r="D80" s="22" t="n">
        <v>336.83</v>
      </c>
    </row>
    <row r="81" customFormat="false" ht="15" hidden="false" customHeight="false" outlineLevel="0" collapsed="false">
      <c r="A81" s="4" t="s">
        <v>220</v>
      </c>
      <c r="B81" s="22" t="n">
        <v>-25.17</v>
      </c>
      <c r="C81" s="22" t="n">
        <v>-81.35</v>
      </c>
      <c r="D81" s="22" t="n">
        <v>-49.83</v>
      </c>
    </row>
    <row r="82" customFormat="false" ht="15" hidden="false" customHeight="false" outlineLevel="0" collapsed="false">
      <c r="A82" s="4" t="s">
        <v>221</v>
      </c>
      <c r="B82" s="22" t="n">
        <v>-0.45</v>
      </c>
      <c r="C82" s="22" t="n">
        <v>-1.24</v>
      </c>
      <c r="D82" s="22" t="n">
        <v>-1.04</v>
      </c>
    </row>
    <row r="83" customFormat="false" ht="15" hidden="false" customHeight="false" outlineLevel="0" collapsed="false">
      <c r="A83" s="4" t="s">
        <v>222</v>
      </c>
      <c r="B83" s="22" t="n">
        <v>-178.75</v>
      </c>
      <c r="C83" s="22" t="n">
        <v>-132.8</v>
      </c>
      <c r="D83" s="22" t="n">
        <v>-163.01</v>
      </c>
    </row>
    <row r="84" customFormat="false" ht="15" hidden="false" customHeight="false" outlineLevel="0" collapsed="false">
      <c r="A84" s="4" t="s">
        <v>153</v>
      </c>
      <c r="B84" s="22" t="n">
        <v>164</v>
      </c>
      <c r="C84" s="22" t="n">
        <v>138.8</v>
      </c>
      <c r="D84" s="22" t="n">
        <v>112.76</v>
      </c>
    </row>
    <row r="85" customFormat="false" ht="15" hidden="false" customHeight="false" outlineLevel="0" collapsed="false">
      <c r="A85" s="3" t="s">
        <v>223</v>
      </c>
      <c r="B85" s="37" t="n">
        <f aca="false">SUM(B79:B84)</f>
        <v>3176.75</v>
      </c>
      <c r="C85" s="37" t="n">
        <f aca="false">SUM(C79:C84)</f>
        <v>3174.06</v>
      </c>
      <c r="D85" s="37" t="n">
        <f aca="false">SUM(D79:D84)</f>
        <v>3554.58</v>
      </c>
    </row>
    <row r="86" customFormat="false" ht="15" hidden="false" customHeight="false" outlineLevel="0" collapsed="false">
      <c r="A86" s="4" t="s">
        <v>224</v>
      </c>
      <c r="B86" s="22" t="n">
        <v>12.6</v>
      </c>
      <c r="C86" s="22" t="n">
        <v>-54.33</v>
      </c>
      <c r="D86" s="22" t="n">
        <v>-105.05</v>
      </c>
    </row>
    <row r="87" customFormat="false" ht="15" hidden="false" customHeight="false" outlineLevel="0" collapsed="false">
      <c r="A87" s="4" t="s">
        <v>225</v>
      </c>
      <c r="B87" s="22" t="n">
        <v>-63.65</v>
      </c>
      <c r="C87" s="22" t="n">
        <v>-53.44</v>
      </c>
      <c r="D87" s="22" t="n">
        <v>-12.95</v>
      </c>
    </row>
    <row r="88" customFormat="false" ht="15" hidden="false" customHeight="false" outlineLevel="0" collapsed="false">
      <c r="A88" s="4" t="s">
        <v>226</v>
      </c>
      <c r="B88" s="22" t="n">
        <v>-24.52</v>
      </c>
      <c r="C88" s="22" t="n">
        <v>-88.65</v>
      </c>
      <c r="D88" s="22" t="n">
        <v>-28.05</v>
      </c>
    </row>
    <row r="89" customFormat="false" ht="15" hidden="false" customHeight="false" outlineLevel="0" collapsed="false">
      <c r="A89" s="4" t="s">
        <v>227</v>
      </c>
      <c r="B89" s="22" t="n">
        <v>236.67</v>
      </c>
      <c r="C89" s="22" t="n">
        <v>202.19</v>
      </c>
      <c r="D89" s="22" t="n">
        <v>24.81</v>
      </c>
    </row>
    <row r="90" customFormat="false" ht="15" hidden="false" customHeight="false" outlineLevel="0" collapsed="false">
      <c r="A90" s="3" t="s">
        <v>228</v>
      </c>
      <c r="B90" s="37" t="n">
        <f aca="false">SUM(B85:B89)</f>
        <v>3337.85</v>
      </c>
      <c r="C90" s="37" t="n">
        <f aca="false">SUM(C85:C89)</f>
        <v>3179.83</v>
      </c>
      <c r="D90" s="37" t="n">
        <f aca="false">SUM(D85:D89)</f>
        <v>3433.34</v>
      </c>
    </row>
    <row r="91" customFormat="false" ht="15" hidden="false" customHeight="false" outlineLevel="0" collapsed="false">
      <c r="A91" s="4" t="s">
        <v>229</v>
      </c>
      <c r="B91" s="22" t="n">
        <v>-764.87</v>
      </c>
      <c r="C91" s="22" t="n">
        <v>-689.21</v>
      </c>
      <c r="D91" s="22" t="n">
        <v>-821.74</v>
      </c>
    </row>
    <row r="92" customFormat="false" ht="15" hidden="false" customHeight="false" outlineLevel="0" collapsed="false">
      <c r="A92" s="3" t="s">
        <v>230</v>
      </c>
      <c r="B92" s="37" t="n">
        <f aca="false">B90+B91</f>
        <v>2572.98</v>
      </c>
      <c r="C92" s="37" t="n">
        <f aca="false">C90+C91</f>
        <v>2490.62</v>
      </c>
      <c r="D92" s="37" t="n">
        <f aca="false">D90+D91</f>
        <v>2611.6</v>
      </c>
    </row>
    <row r="93" customFormat="false" ht="15" hidden="false" customHeight="false" outlineLevel="0" collapsed="false">
      <c r="A93" s="4" t="s">
        <v>231</v>
      </c>
      <c r="B93" s="22" t="n">
        <v>-552.87</v>
      </c>
      <c r="C93" s="22" t="n">
        <v>-374.85</v>
      </c>
      <c r="D93" s="22" t="n">
        <v>-205.57</v>
      </c>
    </row>
    <row r="94" customFormat="false" ht="15" hidden="false" customHeight="false" outlineLevel="0" collapsed="false">
      <c r="A94" s="4" t="s">
        <v>232</v>
      </c>
      <c r="B94" s="22" t="n">
        <v>64.52</v>
      </c>
      <c r="C94" s="22" t="n">
        <v>4.58</v>
      </c>
      <c r="D94" s="22" t="n">
        <v>2.12</v>
      </c>
    </row>
    <row r="95" customFormat="false" ht="15" hidden="false" customHeight="false" outlineLevel="0" collapsed="false">
      <c r="A95" s="4" t="s">
        <v>233</v>
      </c>
      <c r="B95" s="22" t="n">
        <v>-190.9</v>
      </c>
      <c r="C95" s="22" t="n">
        <v>-945.05</v>
      </c>
      <c r="D95" s="22" t="n">
        <v>-613.24</v>
      </c>
    </row>
    <row r="96" customFormat="false" ht="15" hidden="false" customHeight="false" outlineLevel="0" collapsed="false">
      <c r="A96" s="4" t="s">
        <v>234</v>
      </c>
      <c r="B96" s="22" t="n">
        <v>294.22</v>
      </c>
      <c r="C96" s="22" t="n">
        <v>572.16</v>
      </c>
      <c r="D96" s="22" t="n">
        <v>254.35</v>
      </c>
    </row>
    <row r="97" customFormat="false" ht="15" hidden="false" customHeight="false" outlineLevel="0" collapsed="false">
      <c r="A97" s="4" t="s">
        <v>235</v>
      </c>
      <c r="B97" s="22" t="n">
        <v>476.87</v>
      </c>
      <c r="C97" s="22" t="n">
        <v>347.31</v>
      </c>
      <c r="D97" s="22" t="n">
        <v>-362.35</v>
      </c>
    </row>
    <row r="98" customFormat="false" ht="15" hidden="false" customHeight="false" outlineLevel="0" collapsed="false">
      <c r="A98" s="4" t="s">
        <v>236</v>
      </c>
      <c r="B98" s="22" t="n">
        <v>-610</v>
      </c>
      <c r="C98" s="22" t="n">
        <v>-75</v>
      </c>
      <c r="D98" s="22" t="n">
        <v>-115</v>
      </c>
    </row>
    <row r="99" customFormat="false" ht="15" hidden="false" customHeight="false" outlineLevel="0" collapsed="false">
      <c r="A99" s="4" t="s">
        <v>237</v>
      </c>
      <c r="B99" s="22" t="n">
        <v>860</v>
      </c>
      <c r="C99" s="22" t="n">
        <v>460</v>
      </c>
      <c r="D99" s="22" t="n">
        <v>100</v>
      </c>
    </row>
    <row r="100" customFormat="false" ht="15" hidden="false" customHeight="false" outlineLevel="0" collapsed="false">
      <c r="A100" s="4" t="s">
        <v>238</v>
      </c>
      <c r="B100" s="22" t="n">
        <v>-27.95</v>
      </c>
      <c r="C100" s="22" t="n">
        <v>-74.08</v>
      </c>
      <c r="D100" s="22" t="n">
        <v>39.15</v>
      </c>
    </row>
    <row r="101" customFormat="false" ht="15" hidden="false" customHeight="false" outlineLevel="0" collapsed="false">
      <c r="A101" s="4" t="s">
        <v>239</v>
      </c>
      <c r="B101" s="22" t="n">
        <v>170.26</v>
      </c>
      <c r="C101" s="22" t="n">
        <v>151.36</v>
      </c>
      <c r="D101" s="22" t="n">
        <v>143.27</v>
      </c>
    </row>
    <row r="102" customFormat="false" ht="15" hidden="false" customHeight="false" outlineLevel="0" collapsed="false">
      <c r="A102" s="3" t="s">
        <v>240</v>
      </c>
      <c r="B102" s="37" t="n">
        <f aca="false">SUM(B93:B101)</f>
        <v>484.15</v>
      </c>
      <c r="C102" s="37" t="n">
        <f aca="false">SUM(C93:C101)</f>
        <v>66.43</v>
      </c>
      <c r="D102" s="37" t="n">
        <f aca="false">SUM(D93:D101)</f>
        <v>-757.27</v>
      </c>
    </row>
    <row r="103" customFormat="false" ht="15" hidden="false" customHeight="false" outlineLevel="0" collapsed="false">
      <c r="A103" s="4" t="s">
        <v>241</v>
      </c>
      <c r="B103" s="22" t="n">
        <v>-164.28</v>
      </c>
      <c r="C103" s="22" t="n">
        <v>-170.62</v>
      </c>
      <c r="D103" s="22" t="n">
        <v>-107.18</v>
      </c>
    </row>
    <row r="104" customFormat="false" ht="15" hidden="false" customHeight="false" outlineLevel="0" collapsed="false">
      <c r="A104" s="4" t="s">
        <v>242</v>
      </c>
      <c r="B104" s="22" t="n">
        <v>-1.95</v>
      </c>
      <c r="C104" s="22" t="n">
        <v>-3.58</v>
      </c>
      <c r="D104" s="22" t="n">
        <v>-2.77</v>
      </c>
    </row>
    <row r="105" customFormat="false" ht="15" hidden="false" customHeight="false" outlineLevel="0" collapsed="false">
      <c r="A105" s="4" t="s">
        <v>243</v>
      </c>
      <c r="B105" s="22" t="n">
        <v>-0.62</v>
      </c>
      <c r="C105" s="22" t="n">
        <v>-0.89</v>
      </c>
      <c r="D105" s="22" t="n">
        <v>-0.84</v>
      </c>
    </row>
    <row r="106" customFormat="false" ht="15" hidden="false" customHeight="false" outlineLevel="0" collapsed="false">
      <c r="A106" s="4" t="s">
        <v>244</v>
      </c>
      <c r="B106" s="22" t="n">
        <v>-113.6</v>
      </c>
      <c r="C106" s="22" t="n">
        <v>-148.53</v>
      </c>
      <c r="D106" s="22" t="n">
        <v>-191.92</v>
      </c>
    </row>
    <row r="107" customFormat="false" ht="15" hidden="false" customHeight="false" outlineLevel="0" collapsed="false">
      <c r="A107" s="4" t="s">
        <v>245</v>
      </c>
      <c r="B107" s="22" t="n">
        <v>200.84</v>
      </c>
      <c r="C107" s="22" t="n">
        <v>0</v>
      </c>
      <c r="D107" s="22" t="n">
        <v>0.16</v>
      </c>
    </row>
    <row r="108" customFormat="false" ht="15" hidden="false" customHeight="false" outlineLevel="0" collapsed="false">
      <c r="A108" s="4" t="s">
        <v>246</v>
      </c>
      <c r="B108" s="22" t="n">
        <v>0</v>
      </c>
      <c r="C108" s="22" t="n">
        <v>-690.56</v>
      </c>
      <c r="D108" s="22" t="n">
        <v>-0.3</v>
      </c>
    </row>
    <row r="109" customFormat="false" ht="15" hidden="false" customHeight="false" outlineLevel="0" collapsed="false">
      <c r="A109" s="4" t="s">
        <v>247</v>
      </c>
      <c r="B109" s="22" t="n">
        <v>-1027.48</v>
      </c>
      <c r="C109" s="22" t="n">
        <v>26.26</v>
      </c>
      <c r="D109" s="22" t="n">
        <v>324.18</v>
      </c>
    </row>
    <row r="110" customFormat="false" ht="15" hidden="false" customHeight="false" outlineLevel="0" collapsed="false">
      <c r="A110" s="4" t="s">
        <v>248</v>
      </c>
      <c r="B110" s="22" t="n">
        <v>0.43</v>
      </c>
      <c r="C110" s="22" t="n">
        <v>1.56</v>
      </c>
      <c r="D110" s="22" t="n">
        <v>0</v>
      </c>
    </row>
    <row r="111" customFormat="false" ht="15" hidden="false" customHeight="false" outlineLevel="0" collapsed="false">
      <c r="A111" s="4" t="s">
        <v>249</v>
      </c>
      <c r="B111" s="22" t="n">
        <v>-1732.47</v>
      </c>
      <c r="C111" s="22" t="n">
        <v>-1767.54</v>
      </c>
      <c r="D111" s="22" t="n">
        <v>-1803.95</v>
      </c>
    </row>
    <row r="112" customFormat="false" ht="15" hidden="false" customHeight="false" outlineLevel="0" collapsed="false">
      <c r="A112" s="3" t="s">
        <v>250</v>
      </c>
      <c r="B112" s="37" t="n">
        <f aca="false">SUM(B103:B111)</f>
        <v>-2839.13</v>
      </c>
      <c r="C112" s="37" t="n">
        <f aca="false">SUM(C103:C111)</f>
        <v>-2753.9</v>
      </c>
      <c r="D112" s="37" t="n">
        <f aca="false">SUM(D103:D111)</f>
        <v>-1782.62</v>
      </c>
    </row>
    <row r="113" customFormat="false" ht="15" hidden="false" customHeight="false" outlineLevel="0" collapsed="false">
      <c r="A113" s="3" t="s">
        <v>251</v>
      </c>
      <c r="B113" s="37" t="n">
        <f aca="false">B92+B102+B112</f>
        <v>218</v>
      </c>
      <c r="C113" s="37" t="n">
        <f aca="false">C92+C102+C112</f>
        <v>-196.85</v>
      </c>
      <c r="D113" s="37" t="n">
        <f aca="false">D92+D102+D112</f>
        <v>71.7100000000003</v>
      </c>
    </row>
    <row r="114" customFormat="false" ht="15" hidden="false" customHeight="false" outlineLevel="0" collapsed="false">
      <c r="A114" s="4" t="s">
        <v>252</v>
      </c>
      <c r="B114" s="22" t="n">
        <v>1.29</v>
      </c>
      <c r="C114" s="22" t="n">
        <v>2.64</v>
      </c>
      <c r="D114" s="22" t="n">
        <v>15.89</v>
      </c>
    </row>
    <row r="115" customFormat="false" ht="15" hidden="false" customHeight="false" outlineLevel="0" collapsed="false">
      <c r="A115" s="4" t="s">
        <v>253</v>
      </c>
      <c r="B115" s="22" t="n">
        <v>100.16</v>
      </c>
      <c r="C115" s="22" t="n">
        <v>319.45</v>
      </c>
      <c r="D115" s="22" t="n">
        <v>125.24</v>
      </c>
    </row>
    <row r="116" customFormat="false" ht="15" hidden="false" customHeight="false" outlineLevel="0" collapsed="false">
      <c r="A116" s="3" t="s">
        <v>254</v>
      </c>
      <c r="B116" s="37" t="n">
        <f aca="false">B113+B114+B115</f>
        <v>319.45</v>
      </c>
      <c r="C116" s="37" t="n">
        <f aca="false">C113+C114+C115</f>
        <v>125.24</v>
      </c>
      <c r="D116" s="37" t="n">
        <f aca="false">D113+D114+D115</f>
        <v>212.84</v>
      </c>
    </row>
    <row r="118" customFormat="false" ht="15" hidden="false" customHeight="false" outlineLevel="0" collapsed="false">
      <c r="A118" s="25" t="s">
        <v>255</v>
      </c>
      <c r="B118" s="26"/>
      <c r="C118" s="26"/>
      <c r="D118" s="26"/>
      <c r="E118" s="26"/>
    </row>
    <row r="119" customFormat="false" ht="15" hidden="false" customHeight="false" outlineLevel="0" collapsed="false">
      <c r="A119" s="4" t="s">
        <v>256</v>
      </c>
      <c r="B119" s="22" t="n">
        <v>16769.27</v>
      </c>
      <c r="C119" s="22" t="n">
        <v>17942.67</v>
      </c>
      <c r="D119" s="22" t="n">
        <v>19151.59</v>
      </c>
    </row>
    <row r="120" customFormat="false" ht="15" hidden="false" customHeight="false" outlineLevel="0" collapsed="false">
      <c r="A120" s="2" t="s">
        <v>257</v>
      </c>
      <c r="B120" s="39" t="n">
        <f aca="false">ROUND(B8-B119,2)</f>
        <v>0</v>
      </c>
      <c r="C120" s="39" t="n">
        <f aca="false">ROUND(C8-C119,2)</f>
        <v>0</v>
      </c>
      <c r="D120" s="39" t="n">
        <f aca="false">ROUND(D8-D119,2)</f>
        <v>0</v>
      </c>
    </row>
    <row r="121" customFormat="false" ht="15" hidden="false" customHeight="false" outlineLevel="0" collapsed="false">
      <c r="A121" s="4" t="s">
        <v>258</v>
      </c>
      <c r="B121" s="22" t="n">
        <v>14063.89</v>
      </c>
      <c r="C121" s="22" t="n">
        <v>15207.66</v>
      </c>
      <c r="D121" s="22" t="n">
        <v>16056.75</v>
      </c>
    </row>
    <row r="122" customFormat="false" ht="15" hidden="false" customHeight="false" outlineLevel="0" collapsed="false">
      <c r="A122" s="2" t="s">
        <v>257</v>
      </c>
      <c r="B122" s="39" t="n">
        <f aca="false">ROUND(B17-B121,2)</f>
        <v>0</v>
      </c>
      <c r="C122" s="39" t="n">
        <f aca="false">ROUND(C17-C121,2)</f>
        <v>0</v>
      </c>
      <c r="D122" s="39" t="n">
        <f aca="false">ROUND(D17-D121,2)</f>
        <v>0</v>
      </c>
    </row>
    <row r="123" customFormat="false" ht="15" hidden="false" customHeight="false" outlineLevel="0" collapsed="false">
      <c r="A123" s="4" t="s">
        <v>259</v>
      </c>
      <c r="B123" s="22" t="n">
        <v>2913.47</v>
      </c>
      <c r="C123" s="22" t="n">
        <v>2926.57</v>
      </c>
      <c r="D123" s="22" t="n">
        <v>3288.78</v>
      </c>
    </row>
    <row r="124" customFormat="false" ht="15" hidden="false" customHeight="false" outlineLevel="0" collapsed="false">
      <c r="A124" s="2" t="s">
        <v>257</v>
      </c>
      <c r="B124" s="39" t="n">
        <f aca="false">ROUND(B21-B123,2)</f>
        <v>0</v>
      </c>
      <c r="C124" s="39" t="n">
        <f aca="false">ROUND(C21-C123,2)</f>
        <v>0</v>
      </c>
      <c r="D124" s="39" t="n">
        <f aca="false">ROUND(D21-D123,2)</f>
        <v>0</v>
      </c>
    </row>
    <row r="125" customFormat="false" ht="15" hidden="false" customHeight="false" outlineLevel="0" collapsed="false">
      <c r="A125" s="4" t="s">
        <v>260</v>
      </c>
      <c r="B125" s="22" t="n">
        <v>2134.22</v>
      </c>
      <c r="C125" s="22" t="n">
        <v>2177.86</v>
      </c>
      <c r="D125" s="22" t="n">
        <v>2537.01</v>
      </c>
    </row>
    <row r="126" customFormat="false" ht="15" hidden="false" customHeight="false" outlineLevel="0" collapsed="false">
      <c r="A126" s="2" t="s">
        <v>257</v>
      </c>
      <c r="B126" s="39" t="n">
        <f aca="false">ROUND(B25-B125,2)</f>
        <v>0</v>
      </c>
      <c r="C126" s="39" t="n">
        <f aca="false">ROUND(C25-C125,2)</f>
        <v>0</v>
      </c>
      <c r="D126" s="39" t="n">
        <f aca="false">ROUND(D25-D125,2)</f>
        <v>0</v>
      </c>
    </row>
    <row r="127" customFormat="false" ht="15" hidden="false" customHeight="false" outlineLevel="0" collapsed="false">
      <c r="A127" s="4" t="s">
        <v>261</v>
      </c>
      <c r="B127" s="22" t="n">
        <v>4224.9</v>
      </c>
      <c r="C127" s="22" t="n">
        <v>4924.87</v>
      </c>
      <c r="D127" s="22" t="n">
        <v>5054.28</v>
      </c>
    </row>
    <row r="128" customFormat="false" ht="15" hidden="false" customHeight="false" outlineLevel="0" collapsed="false">
      <c r="A128" s="2" t="s">
        <v>257</v>
      </c>
      <c r="B128" s="39" t="n">
        <f aca="false">ROUND(B43-B127,2)</f>
        <v>0</v>
      </c>
      <c r="C128" s="39" t="n">
        <f aca="false">ROUND(C43-C127,2)</f>
        <v>0</v>
      </c>
      <c r="D128" s="39" t="n">
        <f aca="false">ROUND(D43-D127,2)</f>
        <v>0</v>
      </c>
    </row>
    <row r="129" customFormat="false" ht="15" hidden="false" customHeight="false" outlineLevel="0" collapsed="false">
      <c r="A129" s="4" t="s">
        <v>262</v>
      </c>
      <c r="B129" s="22" t="n">
        <v>4848.66</v>
      </c>
      <c r="C129" s="22" t="n">
        <v>3913.68</v>
      </c>
      <c r="D129" s="22" t="n">
        <v>4677.66</v>
      </c>
    </row>
    <row r="130" customFormat="false" ht="15" hidden="false" customHeight="false" outlineLevel="0" collapsed="false">
      <c r="A130" s="2" t="s">
        <v>257</v>
      </c>
      <c r="B130" s="39" t="n">
        <f aca="false">ROUND(B53-B129,2)</f>
        <v>0</v>
      </c>
      <c r="C130" s="39" t="n">
        <f aca="false">ROUND(C53-C129,2)</f>
        <v>0</v>
      </c>
      <c r="D130" s="39" t="n">
        <f aca="false">ROUND(D53-D129,2)</f>
        <v>0</v>
      </c>
    </row>
    <row r="131" customFormat="false" ht="15" hidden="false" customHeight="false" outlineLevel="0" collapsed="false">
      <c r="A131" s="4" t="s">
        <v>263</v>
      </c>
      <c r="B131" s="22" t="n">
        <v>9073.56</v>
      </c>
      <c r="C131" s="22" t="n">
        <v>8838.55</v>
      </c>
      <c r="D131" s="22" t="n">
        <v>9731.94</v>
      </c>
    </row>
    <row r="132" customFormat="false" ht="15" hidden="false" customHeight="false" outlineLevel="0" collapsed="false">
      <c r="A132" s="2" t="s">
        <v>257</v>
      </c>
      <c r="B132" s="39" t="n">
        <f aca="false">ROUND(B54-B131,2)</f>
        <v>0</v>
      </c>
      <c r="C132" s="39" t="n">
        <f aca="false">ROUND(C54-C131,2)</f>
        <v>0</v>
      </c>
      <c r="D132" s="39" t="n">
        <f aca="false">ROUND(D54-D131,2)</f>
        <v>0</v>
      </c>
    </row>
    <row r="133" customFormat="false" ht="15" hidden="false" customHeight="false" outlineLevel="0" collapsed="false">
      <c r="A133" s="4" t="s">
        <v>264</v>
      </c>
      <c r="B133" s="22" t="n">
        <v>3966.02</v>
      </c>
      <c r="C133" s="22" t="n">
        <v>4381.32</v>
      </c>
      <c r="D133" s="22" t="n">
        <v>5135.88</v>
      </c>
    </row>
    <row r="134" customFormat="false" ht="15" hidden="false" customHeight="false" outlineLevel="0" collapsed="false">
      <c r="A134" s="2" t="s">
        <v>257</v>
      </c>
      <c r="B134" s="39" t="n">
        <f aca="false">ROUND(B60-B133,2)</f>
        <v>0</v>
      </c>
      <c r="C134" s="39" t="n">
        <f aca="false">ROUND(C60-C133,2)</f>
        <v>0</v>
      </c>
      <c r="D134" s="39" t="n">
        <f aca="false">ROUND(D60-D133,2)</f>
        <v>0</v>
      </c>
    </row>
    <row r="135" customFormat="false" ht="15" hidden="false" customHeight="false" outlineLevel="0" collapsed="false">
      <c r="A135" s="4" t="s">
        <v>265</v>
      </c>
      <c r="B135" s="22" t="n">
        <v>1023.13</v>
      </c>
      <c r="C135" s="22" t="n">
        <v>838.97</v>
      </c>
      <c r="D135" s="22" t="n">
        <v>416.07</v>
      </c>
    </row>
    <row r="136" customFormat="false" ht="15" hidden="false" customHeight="false" outlineLevel="0" collapsed="false">
      <c r="A136" s="2" t="s">
        <v>257</v>
      </c>
      <c r="B136" s="39" t="n">
        <f aca="false">ROUND(B66-B135,2)</f>
        <v>0</v>
      </c>
      <c r="C136" s="39" t="n">
        <f aca="false">ROUND(C66-C135,2)</f>
        <v>0</v>
      </c>
      <c r="D136" s="39" t="n">
        <f aca="false">ROUND(D66-D135,2)</f>
        <v>0</v>
      </c>
    </row>
    <row r="137" customFormat="false" ht="15" hidden="false" customHeight="false" outlineLevel="0" collapsed="false">
      <c r="A137" s="4" t="s">
        <v>266</v>
      </c>
      <c r="B137" s="22" t="n">
        <v>4084.41</v>
      </c>
      <c r="C137" s="22" t="n">
        <v>3618.26</v>
      </c>
      <c r="D137" s="22" t="n">
        <v>4179.99</v>
      </c>
    </row>
    <row r="138" customFormat="false" ht="15" hidden="false" customHeight="false" outlineLevel="0" collapsed="false">
      <c r="A138" s="2" t="s">
        <v>257</v>
      </c>
      <c r="B138" s="39" t="n">
        <f aca="false">ROUND(B75-B137,2)</f>
        <v>0</v>
      </c>
      <c r="C138" s="39" t="n">
        <f aca="false">ROUND(C75-C137,2)</f>
        <v>0</v>
      </c>
      <c r="D138" s="39" t="n">
        <f aca="false">ROUND(D75-D137,2)</f>
        <v>0</v>
      </c>
    </row>
    <row r="139" customFormat="false" ht="15" hidden="false" customHeight="false" outlineLevel="0" collapsed="false">
      <c r="A139" s="4" t="s">
        <v>267</v>
      </c>
      <c r="B139" s="22" t="n">
        <v>2572.98</v>
      </c>
      <c r="C139" s="22" t="n">
        <v>2490.62</v>
      </c>
      <c r="D139" s="22" t="n">
        <v>2611.6</v>
      </c>
    </row>
    <row r="140" customFormat="false" ht="15" hidden="false" customHeight="false" outlineLevel="0" collapsed="false">
      <c r="A140" s="2" t="s">
        <v>257</v>
      </c>
      <c r="B140" s="39" t="n">
        <f aca="false">ROUND(B92-B139,2)</f>
        <v>0</v>
      </c>
      <c r="C140" s="39" t="n">
        <f aca="false">ROUND(C92-C139,2)</f>
        <v>0</v>
      </c>
      <c r="D140" s="39" t="n">
        <f aca="false">ROUND(D92-D139,2)</f>
        <v>0</v>
      </c>
    </row>
    <row r="141" customFormat="false" ht="15" hidden="false" customHeight="false" outlineLevel="0" collapsed="false">
      <c r="A141" s="4" t="s">
        <v>268</v>
      </c>
      <c r="B141" s="22" t="n">
        <v>484.15</v>
      </c>
      <c r="C141" s="22" t="n">
        <v>66.43</v>
      </c>
      <c r="D141" s="22" t="n">
        <v>-757.27</v>
      </c>
    </row>
    <row r="142" customFormat="false" ht="15" hidden="false" customHeight="false" outlineLevel="0" collapsed="false">
      <c r="A142" s="2" t="s">
        <v>257</v>
      </c>
      <c r="B142" s="39" t="n">
        <f aca="false">ROUND(B102-B141,2)</f>
        <v>0</v>
      </c>
      <c r="C142" s="39" t="n">
        <f aca="false">ROUND(C102-C141,2)</f>
        <v>0</v>
      </c>
      <c r="D142" s="39" t="n">
        <f aca="false">ROUND(D102-D141,2)</f>
        <v>0</v>
      </c>
    </row>
    <row r="143" customFormat="false" ht="15" hidden="false" customHeight="false" outlineLevel="0" collapsed="false">
      <c r="A143" s="4" t="s">
        <v>269</v>
      </c>
      <c r="B143" s="22" t="n">
        <v>-2839.13</v>
      </c>
      <c r="C143" s="22" t="n">
        <v>-2753.9</v>
      </c>
      <c r="D143" s="22" t="n">
        <v>-1782.62</v>
      </c>
    </row>
    <row r="144" customFormat="false" ht="15" hidden="false" customHeight="false" outlineLevel="0" collapsed="false">
      <c r="A144" s="2" t="s">
        <v>257</v>
      </c>
      <c r="B144" s="39" t="n">
        <f aca="false">ROUND(B112-B143,2)</f>
        <v>0</v>
      </c>
      <c r="C144" s="39" t="n">
        <f aca="false">ROUND(C112-C143,2)</f>
        <v>0</v>
      </c>
      <c r="D144" s="39" t="n">
        <f aca="false">ROUND(D112-D143,2)</f>
        <v>0</v>
      </c>
    </row>
    <row r="145" customFormat="false" ht="15" hidden="false" customHeight="false" outlineLevel="0" collapsed="false">
      <c r="A145" s="4" t="s">
        <v>270</v>
      </c>
      <c r="B145" s="22" t="n">
        <v>319.45</v>
      </c>
      <c r="C145" s="22" t="n">
        <v>125.24</v>
      </c>
      <c r="D145" s="22" t="n">
        <v>212.84</v>
      </c>
    </row>
    <row r="146" customFormat="false" ht="15" hidden="false" customHeight="false" outlineLevel="0" collapsed="false">
      <c r="A146" s="2" t="s">
        <v>257</v>
      </c>
      <c r="B146" s="39" t="n">
        <f aca="false">ROUND(B116-B145,2)</f>
        <v>0</v>
      </c>
      <c r="C146" s="39" t="n">
        <f aca="false">ROUND(C116-C145,2)</f>
        <v>0</v>
      </c>
      <c r="D146" s="39" t="n">
        <f aca="false">ROUND(D116-D145,2)</f>
        <v>0</v>
      </c>
    </row>
    <row r="147" customFormat="false" ht="15" hidden="false" customHeight="false" outlineLevel="0" collapsed="false">
      <c r="A147" s="3" t="s">
        <v>271</v>
      </c>
      <c r="B147" s="3" t="str">
        <f aca="false">IF(SUMPRODUCT(ABS(B120:D120))+SUMPRODUCT(ABS(B122:D122))+SUMPRODUCT(ABS(B124:D124))+SUMPRODUCT(ABS(B126:D126))+SUMPRODUCT(ABS(B128:D128))+SUMPRODUCT(ABS(B130:D130))+SUMPRODUCT(ABS(B132:D132))+SUMPRODUCT(ABS(B134:D134))+SUMPRODUCT(ABS(B136:D136))+SUMPRODUCT(ABS(B138:D138))+SUMPRODUCT(ABS(B140:D140))+SUMPRODUCT(ABS(B142:D142))+SUMPRODUCT(ABS(B144:D144))+SUMPRODUCT(ABS(B146:D146))&lt;0.05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14" min="2" style="0" width="11"/>
    <col collapsed="false" customWidth="true" hidden="false" outlineLevel="0" max="15" min="15" style="0" width="100"/>
  </cols>
  <sheetData>
    <row r="1" customFormat="false" ht="17.35" hidden="false" customHeight="false" outlineLevel="0" collapsed="false">
      <c r="A1" s="1" t="s">
        <v>272</v>
      </c>
    </row>
    <row r="2" customFormat="false" ht="15" hidden="false" customHeight="false" outlineLevel="0" collapsed="false">
      <c r="A2" s="2" t="s">
        <v>273</v>
      </c>
    </row>
    <row r="4" customFormat="false" ht="15" hidden="false" customHeight="false" outlineLevel="0" collapsed="false">
      <c r="A4" s="16" t="s">
        <v>140</v>
      </c>
      <c r="B4" s="17" t="s">
        <v>48</v>
      </c>
      <c r="C4" s="17" t="s">
        <v>49</v>
      </c>
      <c r="D4" s="17" t="s">
        <v>50</v>
      </c>
      <c r="E4" s="17" t="s">
        <v>51</v>
      </c>
      <c r="F4" s="17" t="s">
        <v>52</v>
      </c>
      <c r="G4" s="17" t="s">
        <v>53</v>
      </c>
      <c r="H4" s="17" t="s">
        <v>54</v>
      </c>
      <c r="I4" s="17" t="s">
        <v>55</v>
      </c>
      <c r="J4" s="17" t="s">
        <v>56</v>
      </c>
      <c r="K4" s="17" t="s">
        <v>57</v>
      </c>
      <c r="L4" s="17" t="s">
        <v>58</v>
      </c>
      <c r="M4" s="17" t="s">
        <v>59</v>
      </c>
      <c r="N4" s="17" t="s">
        <v>60</v>
      </c>
      <c r="O4" s="17" t="s">
        <v>274</v>
      </c>
    </row>
    <row r="5" customFormat="false" ht="15" hidden="false" customHeight="false" outlineLevel="0" collapsed="false">
      <c r="A5" s="25" t="s">
        <v>142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 customFormat="false" ht="15" hidden="false" customHeight="false" outlineLevel="0" collapsed="false">
      <c r="A6" s="4" t="s">
        <v>143</v>
      </c>
      <c r="B6" s="21" t="n">
        <f aca="false">Historical!B6</f>
        <v>16546.21</v>
      </c>
      <c r="C6" s="21" t="n">
        <f aca="false">Historical!C6</f>
        <v>17535.02</v>
      </c>
      <c r="D6" s="21" t="n">
        <f aca="false">Historical!D6</f>
        <v>18858.21</v>
      </c>
      <c r="E6" s="38" t="n">
        <f aca="false">D6*(1+Assumptions!E5+Assumptions!$B$31)</f>
        <v>20555.4489</v>
      </c>
      <c r="F6" s="38" t="n">
        <f aca="false">E6*(1+Assumptions!F5+Assumptions!$B$31)</f>
        <v>22405.439301</v>
      </c>
      <c r="G6" s="38" t="n">
        <f aca="false">F6*(1+Assumptions!G5+Assumptions!$B$31)</f>
        <v>24309.901641585</v>
      </c>
      <c r="H6" s="38" t="n">
        <f aca="false">G6*(1+Assumptions!H5+Assumptions!$B$31)</f>
        <v>26254.6937729118</v>
      </c>
      <c r="I6" s="38" t="n">
        <f aca="false">H6*(1+Assumptions!I5+Assumptions!$B$31)</f>
        <v>28355.0692747448</v>
      </c>
      <c r="J6" s="38" t="n">
        <f aca="false">I6*(1+Assumptions!J5+Assumptions!$B$31)</f>
        <v>30481.6994703506</v>
      </c>
      <c r="K6" s="38" t="n">
        <f aca="false">J6*(1+Assumptions!K5+Assumptions!$B$31)</f>
        <v>32615.4184332752</v>
      </c>
      <c r="L6" s="38" t="n">
        <f aca="false">K6*(1+Assumptions!L5+Assumptions!$B$31)</f>
        <v>34735.420631438</v>
      </c>
      <c r="M6" s="38" t="n">
        <f aca="false">L6*(1+Assumptions!M5+Assumptions!$B$31)</f>
        <v>36819.5458693243</v>
      </c>
      <c r="N6" s="38" t="n">
        <f aca="false">M6*(1+Assumptions!N5+Assumptions!$B$31)</f>
        <v>38844.6208921372</v>
      </c>
    </row>
    <row r="7" customFormat="false" ht="15" hidden="false" customHeight="false" outlineLevel="0" collapsed="false">
      <c r="A7" s="4" t="s">
        <v>145</v>
      </c>
      <c r="B7" s="21" t="n">
        <f aca="false">Historical!B7</f>
        <v>223.06</v>
      </c>
      <c r="C7" s="21" t="n">
        <f aca="false">Historical!C7</f>
        <v>407.65</v>
      </c>
      <c r="D7" s="21" t="n">
        <f aca="false">Historical!D7</f>
        <v>293.38</v>
      </c>
      <c r="E7" s="38" t="n">
        <f aca="false">E6*Assumptions!E6</f>
        <v>328.8871824</v>
      </c>
      <c r="F7" s="38" t="n">
        <f aca="false">F6*Assumptions!F6</f>
        <v>358.487028816</v>
      </c>
      <c r="G7" s="38" t="n">
        <f aca="false">G6*Assumptions!G6</f>
        <v>388.95842626536</v>
      </c>
      <c r="H7" s="38" t="n">
        <f aca="false">H6*Assumptions!H6</f>
        <v>420.075100366589</v>
      </c>
      <c r="I7" s="38" t="n">
        <f aca="false">I6*Assumptions!I6</f>
        <v>453.681108395916</v>
      </c>
      <c r="J7" s="38" t="n">
        <f aca="false">J6*Assumptions!J6</f>
        <v>487.70719152561</v>
      </c>
      <c r="K7" s="38" t="n">
        <f aca="false">K6*Assumptions!K6</f>
        <v>521.846694932402</v>
      </c>
      <c r="L7" s="38" t="n">
        <f aca="false">L6*Assumptions!L6</f>
        <v>555.766730103009</v>
      </c>
      <c r="M7" s="38" t="n">
        <f aca="false">M6*Assumptions!M6</f>
        <v>589.112733909189</v>
      </c>
      <c r="N7" s="38" t="n">
        <f aca="false">N6*Assumptions!N6</f>
        <v>621.513934274195</v>
      </c>
    </row>
    <row r="8" customFormat="false" ht="15" hidden="false" customHeight="false" outlineLevel="0" collapsed="false">
      <c r="A8" s="3" t="s">
        <v>146</v>
      </c>
      <c r="B8" s="37" t="n">
        <f aca="false">B6+B7</f>
        <v>16769.27</v>
      </c>
      <c r="C8" s="37" t="n">
        <f aca="false">C6+C7</f>
        <v>17942.67</v>
      </c>
      <c r="D8" s="37" t="n">
        <f aca="false">D6+D7</f>
        <v>19151.59</v>
      </c>
      <c r="E8" s="37" t="n">
        <f aca="false">E6+E7</f>
        <v>20884.3360824</v>
      </c>
      <c r="F8" s="37" t="n">
        <f aca="false">F6+F7</f>
        <v>22763.926329816</v>
      </c>
      <c r="G8" s="37" t="n">
        <f aca="false">G6+G7</f>
        <v>24698.8600678504</v>
      </c>
      <c r="H8" s="37" t="n">
        <f aca="false">H6+H7</f>
        <v>26674.7688732784</v>
      </c>
      <c r="I8" s="37" t="n">
        <f aca="false">I6+I7</f>
        <v>28808.7503831407</v>
      </c>
      <c r="J8" s="37" t="n">
        <f aca="false">J6+J7</f>
        <v>30969.4066618762</v>
      </c>
      <c r="K8" s="37" t="n">
        <f aca="false">K6+K7</f>
        <v>33137.2651282076</v>
      </c>
      <c r="L8" s="37" t="n">
        <f aca="false">L6+L7</f>
        <v>35291.187361541</v>
      </c>
      <c r="M8" s="37" t="n">
        <f aca="false">M6+M7</f>
        <v>37408.6586032335</v>
      </c>
      <c r="N8" s="37" t="n">
        <f aca="false">N6+N7</f>
        <v>39466.1348264114</v>
      </c>
    </row>
    <row r="9" customFormat="false" ht="15" hidden="false" customHeight="false" outlineLevel="0" collapsed="false">
      <c r="A9" s="4" t="s">
        <v>275</v>
      </c>
      <c r="B9" s="21" t="n">
        <f aca="false">Historical!B10+Historical!B11+Historical!B12</f>
        <v>9492.03</v>
      </c>
      <c r="C9" s="21" t="n">
        <f aca="false">Historical!C10+Historical!C11+Historical!C12</f>
        <v>10604.05</v>
      </c>
      <c r="D9" s="21" t="n">
        <f aca="false">Historical!D10+Historical!D11+Historical!D12</f>
        <v>11132.88</v>
      </c>
      <c r="E9" s="38" t="n">
        <f aca="false">E6*(Assumptions!E7+Assumptions!$B$32)</f>
        <v>12086.6039532</v>
      </c>
      <c r="F9" s="38" t="n">
        <f aca="false">F6*(Assumptions!F7+Assumptions!$B$32)</f>
        <v>13129.587430386</v>
      </c>
      <c r="G9" s="38" t="n">
        <f aca="false">G6*(Assumptions!G7+Assumptions!$B$32)</f>
        <v>14221.2924603272</v>
      </c>
      <c r="H9" s="38" t="n">
        <f aca="false">H6*(Assumptions!H7+Assumptions!$B$32)</f>
        <v>15358.9958571534</v>
      </c>
      <c r="I9" s="38" t="n">
        <f aca="false">I6*(Assumptions!I7+Assumptions!$B$32)</f>
        <v>16587.7155257257</v>
      </c>
      <c r="J9" s="38" t="n">
        <f aca="false">J6*(Assumptions!J7+Assumptions!$B$32)</f>
        <v>17831.7941901551</v>
      </c>
      <c r="K9" s="38" t="n">
        <f aca="false">K6*(Assumptions!K7+Assumptions!$B$32)</f>
        <v>19080.019783466</v>
      </c>
      <c r="L9" s="38" t="n">
        <f aca="false">L6*(Assumptions!L7+Assumptions!$B$32)</f>
        <v>20320.2210693913</v>
      </c>
      <c r="M9" s="38" t="n">
        <f aca="false">M6*(Assumptions!M7+Assumptions!$B$32)</f>
        <v>21539.4343335547</v>
      </c>
      <c r="N9" s="38" t="n">
        <f aca="false">N6*(Assumptions!N7+Assumptions!$B$32)</f>
        <v>22724.1032219002</v>
      </c>
      <c r="O9" s="2" t="s">
        <v>276</v>
      </c>
    </row>
    <row r="10" customFormat="false" ht="15" hidden="false" customHeight="false" outlineLevel="0" collapsed="false">
      <c r="A10" s="4" t="s">
        <v>277</v>
      </c>
      <c r="B10" s="38" t="n">
        <f aca="false">B8-B9</f>
        <v>7277.24</v>
      </c>
      <c r="C10" s="38" t="n">
        <f aca="false">C8-C9</f>
        <v>7338.62</v>
      </c>
      <c r="D10" s="38" t="n">
        <f aca="false">D8-D9</f>
        <v>8018.71</v>
      </c>
      <c r="E10" s="38" t="n">
        <f aca="false">E8-E9</f>
        <v>8797.7321292</v>
      </c>
      <c r="F10" s="38" t="n">
        <f aca="false">F8-F9</f>
        <v>9634.33889943</v>
      </c>
      <c r="G10" s="38" t="n">
        <f aca="false">G8-G9</f>
        <v>10477.5676075231</v>
      </c>
      <c r="H10" s="38" t="n">
        <f aca="false">H8-H9</f>
        <v>11315.773016125</v>
      </c>
      <c r="I10" s="38" t="n">
        <f aca="false">I8-I9</f>
        <v>12221.034857415</v>
      </c>
      <c r="J10" s="38" t="n">
        <f aca="false">J8-J9</f>
        <v>13137.6124717211</v>
      </c>
      <c r="K10" s="38" t="n">
        <f aca="false">K8-K9</f>
        <v>14057.2453447416</v>
      </c>
      <c r="L10" s="38" t="n">
        <f aca="false">L8-L9</f>
        <v>14970.9662921498</v>
      </c>
      <c r="M10" s="38" t="n">
        <f aca="false">M8-M9</f>
        <v>15869.2242696788</v>
      </c>
      <c r="N10" s="38" t="n">
        <f aca="false">N8-N9</f>
        <v>16742.0316045111</v>
      </c>
    </row>
    <row r="11" customFormat="false" ht="15" hidden="false" customHeight="false" outlineLevel="0" collapsed="false">
      <c r="A11" s="4" t="s">
        <v>278</v>
      </c>
      <c r="B11" s="28" t="n">
        <f aca="false">B10/B8</f>
        <v>0.433962837976847</v>
      </c>
      <c r="C11" s="28" t="n">
        <f aca="false">C10/C8</f>
        <v>0.409003788176453</v>
      </c>
      <c r="D11" s="28" t="n">
        <f aca="false">D10/D8</f>
        <v>0.418696828827267</v>
      </c>
      <c r="E11" s="28" t="n">
        <f aca="false">E10/E8</f>
        <v>0.421259842519685</v>
      </c>
      <c r="F11" s="28" t="n">
        <f aca="false">F10/F8</f>
        <v>0.423228346456693</v>
      </c>
      <c r="G11" s="28" t="n">
        <f aca="false">G10/G8</f>
        <v>0.424212598425197</v>
      </c>
      <c r="H11" s="28" t="n">
        <f aca="false">H10/H8</f>
        <v>0.424212598425197</v>
      </c>
      <c r="I11" s="28" t="n">
        <f aca="false">I10/I8</f>
        <v>0.424212598425197</v>
      </c>
      <c r="J11" s="28" t="n">
        <f aca="false">J10/J8</f>
        <v>0.424212598425197</v>
      </c>
      <c r="K11" s="28" t="n">
        <f aca="false">K10/K8</f>
        <v>0.424212598425197</v>
      </c>
      <c r="L11" s="28" t="n">
        <f aca="false">L10/L8</f>
        <v>0.424212598425197</v>
      </c>
      <c r="M11" s="28" t="n">
        <f aca="false">M10/M8</f>
        <v>0.424212598425197</v>
      </c>
      <c r="N11" s="28" t="n">
        <f aca="false">N10/N8</f>
        <v>0.424212598425197</v>
      </c>
    </row>
    <row r="12" customFormat="false" ht="15" hidden="false" customHeight="false" outlineLevel="0" collapsed="false">
      <c r="A12" s="4" t="s">
        <v>151</v>
      </c>
      <c r="B12" s="21" t="n">
        <f aca="false">Historical!B13</f>
        <v>708.7</v>
      </c>
      <c r="C12" s="21" t="n">
        <f aca="false">Historical!C13</f>
        <v>704.59</v>
      </c>
      <c r="D12" s="21" t="n">
        <f aca="false">Historical!D13</f>
        <v>823.8</v>
      </c>
      <c r="E12" s="38" t="n">
        <f aca="false">E8*Assumptions!E8</f>
        <v>877.1421154608</v>
      </c>
      <c r="F12" s="38" t="n">
        <f aca="false">F8*Assumptions!F8</f>
        <v>956.084905852272</v>
      </c>
      <c r="G12" s="38" t="n">
        <f aca="false">G8*Assumptions!G8</f>
        <v>1037.35212284972</v>
      </c>
      <c r="H12" s="38" t="n">
        <f aca="false">H8*Assumptions!H8</f>
        <v>1120.34029267769</v>
      </c>
      <c r="I12" s="38" t="n">
        <f aca="false">I8*Assumptions!I8</f>
        <v>1209.96751609191</v>
      </c>
      <c r="J12" s="38" t="n">
        <f aca="false">J8*Assumptions!J8</f>
        <v>1300.7150797988</v>
      </c>
      <c r="K12" s="38" t="n">
        <f aca="false">K8*Assumptions!K8</f>
        <v>1391.76513538472</v>
      </c>
      <c r="L12" s="38" t="n">
        <f aca="false">L8*Assumptions!L8</f>
        <v>1482.22986918472</v>
      </c>
      <c r="M12" s="38" t="n">
        <f aca="false">M8*Assumptions!M8</f>
        <v>1571.16366133581</v>
      </c>
      <c r="N12" s="38" t="n">
        <f aca="false">N8*Assumptions!N8</f>
        <v>1657.57766270928</v>
      </c>
    </row>
    <row r="13" customFormat="false" ht="15" hidden="false" customHeight="false" outlineLevel="0" collapsed="false">
      <c r="A13" s="4" t="s">
        <v>155</v>
      </c>
      <c r="B13" s="21" t="n">
        <f aca="false">Historical!B16</f>
        <v>3398.7</v>
      </c>
      <c r="C13" s="21" t="n">
        <f aca="false">Historical!C16</f>
        <v>3446.88</v>
      </c>
      <c r="D13" s="21" t="n">
        <f aca="false">Historical!D16</f>
        <v>3650.48</v>
      </c>
      <c r="E13" s="38" t="n">
        <f aca="false">E8*Assumptions!E9</f>
        <v>3968.023855656</v>
      </c>
      <c r="F13" s="38" t="n">
        <f aca="false">F8*Assumptions!F9</f>
        <v>4325.14600266504</v>
      </c>
      <c r="G13" s="38" t="n">
        <f aca="false">G8*Assumptions!G9</f>
        <v>4692.78341289157</v>
      </c>
      <c r="H13" s="38" t="n">
        <f aca="false">H8*Assumptions!H9</f>
        <v>5068.2060859229</v>
      </c>
      <c r="I13" s="38" t="n">
        <f aca="false">I8*Assumptions!I9</f>
        <v>5473.66257279673</v>
      </c>
      <c r="J13" s="38" t="n">
        <f aca="false">J8*Assumptions!J9</f>
        <v>5884.18726575648</v>
      </c>
      <c r="K13" s="38" t="n">
        <f aca="false">K8*Assumptions!K9</f>
        <v>6296.08037435944</v>
      </c>
      <c r="L13" s="38" t="n">
        <f aca="false">L8*Assumptions!L9</f>
        <v>6705.3255986928</v>
      </c>
      <c r="M13" s="38" t="n">
        <f aca="false">M8*Assumptions!M9</f>
        <v>7107.64513461437</v>
      </c>
      <c r="N13" s="38" t="n">
        <f aca="false">N8*Assumptions!N9</f>
        <v>7498.56561701816</v>
      </c>
    </row>
    <row r="14" customFormat="false" ht="15" hidden="false" customHeight="false" outlineLevel="0" collapsed="false">
      <c r="A14" s="3" t="s">
        <v>279</v>
      </c>
      <c r="B14" s="37" t="n">
        <f aca="false">B10-B12-B13</f>
        <v>3169.84</v>
      </c>
      <c r="C14" s="37" t="n">
        <f aca="false">C10-C12-C13</f>
        <v>3187.15</v>
      </c>
      <c r="D14" s="37" t="n">
        <f aca="false">D10-D12-D13</f>
        <v>3544.43</v>
      </c>
      <c r="E14" s="37" t="n">
        <f aca="false">E10-E12-E13</f>
        <v>3952.5661580832</v>
      </c>
      <c r="F14" s="37" t="n">
        <f aca="false">F10-F12-F13</f>
        <v>4353.10799091269</v>
      </c>
      <c r="G14" s="37" t="n">
        <f aca="false">G10-G12-G13</f>
        <v>4747.43207178185</v>
      </c>
      <c r="H14" s="37" t="n">
        <f aca="false">H10-H12-H13</f>
        <v>5127.2266375244</v>
      </c>
      <c r="I14" s="37" t="n">
        <f aca="false">I10-I12-I13</f>
        <v>5537.40476852635</v>
      </c>
      <c r="J14" s="37" t="n">
        <f aca="false">J10-J12-J13</f>
        <v>5952.71012616583</v>
      </c>
      <c r="K14" s="37" t="n">
        <f aca="false">K10-K12-K13</f>
        <v>6369.39983499744</v>
      </c>
      <c r="L14" s="37" t="n">
        <f aca="false">L10-L12-L13</f>
        <v>6783.41082427227</v>
      </c>
      <c r="M14" s="37" t="n">
        <f aca="false">M10-M12-M13</f>
        <v>7190.41547372861</v>
      </c>
      <c r="N14" s="37" t="n">
        <f aca="false">N10-N12-N13</f>
        <v>7585.88832478368</v>
      </c>
    </row>
    <row r="15" customFormat="false" ht="15" hidden="false" customHeight="false" outlineLevel="0" collapsed="false">
      <c r="A15" s="4" t="s">
        <v>280</v>
      </c>
      <c r="B15" s="28" t="n">
        <f aca="false">B14/B8</f>
        <v>0.189026713744844</v>
      </c>
      <c r="C15" s="28" t="n">
        <f aca="false">C14/C8</f>
        <v>0.177629639290028</v>
      </c>
      <c r="D15" s="28" t="n">
        <f aca="false">D14/D8</f>
        <v>0.185072362138078</v>
      </c>
      <c r="E15" s="28" t="n">
        <f aca="false">E14/E8</f>
        <v>0.189259842519685</v>
      </c>
      <c r="F15" s="28" t="n">
        <f aca="false">F14/F8</f>
        <v>0.191228346456693</v>
      </c>
      <c r="G15" s="28" t="n">
        <f aca="false">G14/G8</f>
        <v>0.192212598425197</v>
      </c>
      <c r="H15" s="28" t="n">
        <f aca="false">H14/H8</f>
        <v>0.192212598425197</v>
      </c>
      <c r="I15" s="28" t="n">
        <f aca="false">I14/I8</f>
        <v>0.192212598425197</v>
      </c>
      <c r="J15" s="28" t="n">
        <f aca="false">J14/J8</f>
        <v>0.192212598425197</v>
      </c>
      <c r="K15" s="28" t="n">
        <f aca="false">K14/K8</f>
        <v>0.192212598425197</v>
      </c>
      <c r="L15" s="28" t="n">
        <f aca="false">L14/L8</f>
        <v>0.192212598425197</v>
      </c>
      <c r="M15" s="28" t="n">
        <f aca="false">M14/M8</f>
        <v>0.192212598425197</v>
      </c>
      <c r="N15" s="28" t="n">
        <f aca="false">N14/N8</f>
        <v>0.192212598425197</v>
      </c>
    </row>
    <row r="16" customFormat="false" ht="15" hidden="false" customHeight="false" outlineLevel="0" collapsed="false">
      <c r="A16" s="4" t="s">
        <v>154</v>
      </c>
      <c r="B16" s="21" t="n">
        <f aca="false">Historical!B15</f>
        <v>300.46</v>
      </c>
      <c r="C16" s="21" t="n">
        <f aca="false">Historical!C15</f>
        <v>313.34</v>
      </c>
      <c r="D16" s="21" t="n">
        <f aca="false">Historical!D15</f>
        <v>336.83</v>
      </c>
      <c r="E16" s="38" t="n">
        <f aca="false">D33*Assumptions!E10</f>
        <v>317.7856</v>
      </c>
      <c r="F16" s="38" t="n">
        <f aca="false">E33*Assumptions!F10</f>
        <v>328.77472338128</v>
      </c>
      <c r="G16" s="38" t="n">
        <f aca="false">F33*Assumptions!G10</f>
        <v>342.690141734934</v>
      </c>
      <c r="H16" s="38" t="n">
        <f aca="false">G33*Assumptions!H10</f>
        <v>359.331718293362</v>
      </c>
      <c r="I16" s="38" t="n">
        <f aca="false">H33*Assumptions!I10</f>
        <v>378.489720802305</v>
      </c>
      <c r="J16" s="38" t="n">
        <f aca="false">I33*Assumptions!J10</f>
        <v>400.235102356961</v>
      </c>
      <c r="K16" s="38" t="n">
        <f aca="false">J33*Assumptions!K10</f>
        <v>424.341935753823</v>
      </c>
      <c r="L16" s="38" t="n">
        <f aca="false">K33*Assumptions!L10</f>
        <v>450.566306102959</v>
      </c>
      <c r="M16" s="38" t="n">
        <f aca="false">L33*Assumptions!M10</f>
        <v>478.644624627024</v>
      </c>
      <c r="N16" s="38" t="n">
        <f aca="false">M33*Assumptions!N10</f>
        <v>508.292764845165</v>
      </c>
    </row>
    <row r="17" customFormat="false" ht="15" hidden="false" customHeight="false" outlineLevel="0" collapsed="false">
      <c r="A17" s="3" t="s">
        <v>281</v>
      </c>
      <c r="B17" s="37" t="n">
        <f aca="false">B14-B16</f>
        <v>2869.38</v>
      </c>
      <c r="C17" s="37" t="n">
        <f aca="false">C14-C16</f>
        <v>2873.81</v>
      </c>
      <c r="D17" s="37" t="n">
        <f aca="false">D14-D16</f>
        <v>3207.6</v>
      </c>
      <c r="E17" s="37" t="n">
        <f aca="false">E14-E16</f>
        <v>3634.7805580832</v>
      </c>
      <c r="F17" s="37" t="n">
        <f aca="false">F14-F16</f>
        <v>4024.33326753141</v>
      </c>
      <c r="G17" s="37" t="n">
        <f aca="false">G14-G16</f>
        <v>4404.74193004692</v>
      </c>
      <c r="H17" s="37" t="n">
        <f aca="false">H14-H16</f>
        <v>4767.89491923104</v>
      </c>
      <c r="I17" s="37" t="n">
        <f aca="false">I14-I16</f>
        <v>5158.91504772405</v>
      </c>
      <c r="J17" s="37" t="n">
        <f aca="false">J14-J16</f>
        <v>5552.47502380887</v>
      </c>
      <c r="K17" s="37" t="n">
        <f aca="false">K14-K16</f>
        <v>5945.05789924361</v>
      </c>
      <c r="L17" s="37" t="n">
        <f aca="false">L14-L16</f>
        <v>6332.84451816931</v>
      </c>
      <c r="M17" s="37" t="n">
        <f aca="false">M14-M16</f>
        <v>6711.77084910159</v>
      </c>
      <c r="N17" s="37" t="n">
        <f aca="false">N14-N16</f>
        <v>7077.59555993852</v>
      </c>
    </row>
    <row r="18" customFormat="false" ht="15" hidden="false" customHeight="false" outlineLevel="0" collapsed="false">
      <c r="A18" s="4" t="s">
        <v>147</v>
      </c>
      <c r="B18" s="21" t="n">
        <f aca="false">Historical!B9</f>
        <v>214.18</v>
      </c>
      <c r="C18" s="21" t="n">
        <f aca="false">Historical!C9</f>
        <v>227.09</v>
      </c>
      <c r="D18" s="21" t="n">
        <f aca="false">Historical!D9</f>
        <v>224.03</v>
      </c>
      <c r="E18" s="38" t="n">
        <f aca="false">(D35+D36+D37)*Assumptions!E12</f>
        <v>251.9069</v>
      </c>
      <c r="F18" s="38" t="n">
        <f aca="false">(E35+E36+E37)*Assumptions!F12</f>
        <v>293.6499149926</v>
      </c>
      <c r="G18" s="38" t="n">
        <f aca="false">(F35+F36+F37)*Assumptions!G12</f>
        <v>340.777135503635</v>
      </c>
      <c r="H18" s="38" t="n">
        <f aca="false">(G35+G36+G37)*Assumptions!H12</f>
        <v>389.451400555927</v>
      </c>
      <c r="I18" s="38" t="n">
        <f aca="false">(H35+H36+H37)*Assumptions!I12</f>
        <v>439.132052649687</v>
      </c>
      <c r="J18" s="38" t="n">
        <f aca="false">(I35+I36+I37)*Assumptions!J12</f>
        <v>492.150307419165</v>
      </c>
      <c r="K18" s="38" t="n">
        <f aca="false">(J35+J36+J37)*Assumptions!K12</f>
        <v>547.474957352878</v>
      </c>
      <c r="L18" s="38" t="n">
        <f aca="false">(K35+K36+K37)*Assumptions!L12</f>
        <v>605.039946162501</v>
      </c>
      <c r="M18" s="38" t="n">
        <f aca="false">(L35+L36+L37)*Assumptions!M12</f>
        <v>664.788221698495</v>
      </c>
      <c r="N18" s="38" t="n">
        <f aca="false">(M35+M36+M37)*Assumptions!N12</f>
        <v>726.630865983174</v>
      </c>
    </row>
    <row r="19" customFormat="false" ht="15" hidden="false" customHeight="false" outlineLevel="0" collapsed="false">
      <c r="A19" s="4" t="s">
        <v>153</v>
      </c>
      <c r="B19" s="21" t="n">
        <f aca="false">Historical!B14</f>
        <v>164</v>
      </c>
      <c r="C19" s="21" t="n">
        <f aca="false">Historical!C14</f>
        <v>138.8</v>
      </c>
      <c r="D19" s="21" t="n">
        <f aca="false">Historical!D14</f>
        <v>112.76</v>
      </c>
      <c r="E19" s="38" t="n">
        <f aca="false">D45*Assumptions!E13</f>
        <v>110.4224</v>
      </c>
      <c r="F19" s="38" t="n">
        <f aca="false">E45*Assumptions!F13</f>
        <v>110.4224</v>
      </c>
      <c r="G19" s="38" t="n">
        <f aca="false">F45*Assumptions!G13</f>
        <v>110.4224</v>
      </c>
      <c r="H19" s="38" t="n">
        <f aca="false">G45*Assumptions!H13</f>
        <v>110.4224</v>
      </c>
      <c r="I19" s="38" t="n">
        <f aca="false">H45*Assumptions!I13</f>
        <v>110.4224</v>
      </c>
      <c r="J19" s="38" t="n">
        <f aca="false">I45*Assumptions!J13</f>
        <v>110.4224</v>
      </c>
      <c r="K19" s="38" t="n">
        <f aca="false">J45*Assumptions!K13</f>
        <v>110.4224</v>
      </c>
      <c r="L19" s="38" t="n">
        <f aca="false">K45*Assumptions!L13</f>
        <v>110.4224</v>
      </c>
      <c r="M19" s="38" t="n">
        <f aca="false">L45*Assumptions!M13</f>
        <v>110.4224</v>
      </c>
      <c r="N19" s="38" t="n">
        <f aca="false">M45*Assumptions!N13</f>
        <v>110.4224</v>
      </c>
    </row>
    <row r="20" customFormat="false" ht="15" hidden="false" customHeight="false" outlineLevel="0" collapsed="false">
      <c r="A20" s="4" t="s">
        <v>158</v>
      </c>
      <c r="B20" s="21" t="n">
        <f aca="false">Historical!B19</f>
        <v>-3.19</v>
      </c>
      <c r="C20" s="21" t="n">
        <f aca="false">Historical!C19</f>
        <v>-10.74</v>
      </c>
      <c r="D20" s="21" t="n">
        <f aca="false">Historical!D19</f>
        <v>-30.09</v>
      </c>
      <c r="E20" s="38" t="n">
        <f aca="false">Assumptions!E14</f>
        <v>-15</v>
      </c>
      <c r="F20" s="38" t="n">
        <f aca="false">Assumptions!F14</f>
        <v>-15</v>
      </c>
      <c r="G20" s="38" t="n">
        <f aca="false">Assumptions!G14</f>
        <v>-15</v>
      </c>
      <c r="H20" s="38" t="n">
        <f aca="false">Assumptions!H14</f>
        <v>-15</v>
      </c>
      <c r="I20" s="38" t="n">
        <f aca="false">Assumptions!I14</f>
        <v>-15</v>
      </c>
      <c r="J20" s="38" t="n">
        <f aca="false">Assumptions!J14</f>
        <v>-15</v>
      </c>
      <c r="K20" s="38" t="n">
        <f aca="false">Assumptions!K14</f>
        <v>-15</v>
      </c>
      <c r="L20" s="38" t="n">
        <f aca="false">Assumptions!L14</f>
        <v>-15</v>
      </c>
      <c r="M20" s="38" t="n">
        <f aca="false">Assumptions!M14</f>
        <v>-15</v>
      </c>
      <c r="N20" s="38" t="n">
        <f aca="false">Assumptions!N14</f>
        <v>-15</v>
      </c>
    </row>
    <row r="21" customFormat="false" ht="15" hidden="false" customHeight="false" outlineLevel="0" collapsed="false">
      <c r="A21" s="4" t="s">
        <v>282</v>
      </c>
      <c r="B21" s="21" t="n">
        <f aca="false">Historical!B20</f>
        <v>2.9</v>
      </c>
      <c r="C21" s="21" t="n">
        <f aca="false">Historical!C20</f>
        <v>24.79</v>
      </c>
      <c r="D21" s="21" t="n">
        <f aca="false">Historical!D20</f>
        <v>0</v>
      </c>
      <c r="E21" s="38" t="n">
        <f aca="false">0</f>
        <v>0</v>
      </c>
      <c r="F21" s="38" t="n">
        <f aca="false">0</f>
        <v>0</v>
      </c>
      <c r="G21" s="38" t="n">
        <f aca="false">0</f>
        <v>0</v>
      </c>
      <c r="H21" s="38" t="n">
        <f aca="false">0</f>
        <v>0</v>
      </c>
      <c r="I21" s="38" t="n">
        <f aca="false">0</f>
        <v>0</v>
      </c>
      <c r="J21" s="38" t="n">
        <f aca="false">0</f>
        <v>0</v>
      </c>
      <c r="K21" s="38" t="n">
        <f aca="false">0</f>
        <v>0</v>
      </c>
      <c r="L21" s="38" t="n">
        <f aca="false">0</f>
        <v>0</v>
      </c>
      <c r="M21" s="38" t="n">
        <f aca="false">0</f>
        <v>0</v>
      </c>
      <c r="N21" s="38" t="n">
        <f aca="false">0</f>
        <v>0</v>
      </c>
    </row>
    <row r="22" customFormat="false" ht="15" hidden="false" customHeight="false" outlineLevel="0" collapsed="false">
      <c r="A22" s="3" t="s">
        <v>161</v>
      </c>
      <c r="B22" s="37" t="n">
        <f aca="false">B17+B18-B19+B20-B21</f>
        <v>2913.47</v>
      </c>
      <c r="C22" s="37" t="n">
        <f aca="false">C17+C18-C19+C20-C21</f>
        <v>2926.57</v>
      </c>
      <c r="D22" s="37" t="n">
        <f aca="false">D17+D18-D19+D20-D21</f>
        <v>3288.78</v>
      </c>
      <c r="E22" s="37" t="n">
        <f aca="false">E17+E18-E19+E20-E21</f>
        <v>3761.2650580832</v>
      </c>
      <c r="F22" s="37" t="n">
        <f aca="false">F17+F18-F19+F20-F21</f>
        <v>4192.56078252401</v>
      </c>
      <c r="G22" s="37" t="n">
        <f aca="false">G17+G18-G19+G20-G21</f>
        <v>4620.09666555055</v>
      </c>
      <c r="H22" s="37" t="n">
        <f aca="false">H17+H18-H19+H20-H21</f>
        <v>5031.92391978697</v>
      </c>
      <c r="I22" s="37" t="n">
        <f aca="false">I17+I18-I19+I20-I21</f>
        <v>5472.62470037373</v>
      </c>
      <c r="J22" s="37" t="n">
        <f aca="false">J17+J18-J19+J20-J21</f>
        <v>5919.20293122804</v>
      </c>
      <c r="K22" s="37" t="n">
        <f aca="false">K17+K18-K19+K20-K21</f>
        <v>6367.11045659649</v>
      </c>
      <c r="L22" s="37" t="n">
        <f aca="false">L17+L18-L19+L20-L21</f>
        <v>6812.46206433181</v>
      </c>
      <c r="M22" s="37" t="n">
        <f aca="false">M17+M18-M19+M20-M21</f>
        <v>7251.13667080008</v>
      </c>
      <c r="N22" s="37" t="n">
        <f aca="false">N17+N18-N19+N20-N21</f>
        <v>7678.80402592169</v>
      </c>
    </row>
    <row r="23" customFormat="false" ht="15" hidden="false" customHeight="false" outlineLevel="0" collapsed="false">
      <c r="A23" s="4" t="s">
        <v>283</v>
      </c>
      <c r="B23" s="21" t="n">
        <f aca="false">Historical!B24</f>
        <v>779.25</v>
      </c>
      <c r="C23" s="21" t="n">
        <f aca="false">Historical!C24</f>
        <v>748.71</v>
      </c>
      <c r="D23" s="21" t="n">
        <f aca="false">Historical!D24</f>
        <v>751.77</v>
      </c>
      <c r="E23" s="38" t="n">
        <f aca="false">E22*Assumptions!E15</f>
        <v>947.838794636967</v>
      </c>
      <c r="F23" s="38" t="n">
        <f aca="false">F22*Assumptions!F15</f>
        <v>1056.52531719605</v>
      </c>
      <c r="G23" s="38" t="n">
        <f aca="false">G22*Assumptions!G15</f>
        <v>1164.26435971874</v>
      </c>
      <c r="H23" s="38" t="n">
        <f aca="false">H22*Assumptions!H15</f>
        <v>1268.04482778632</v>
      </c>
      <c r="I23" s="38" t="n">
        <f aca="false">I22*Assumptions!I15</f>
        <v>1379.10142449418</v>
      </c>
      <c r="J23" s="38" t="n">
        <f aca="false">J22*Assumptions!J15</f>
        <v>1491.63913866946</v>
      </c>
      <c r="K23" s="38" t="n">
        <f aca="false">K22*Assumptions!K15</f>
        <v>1604.51183506232</v>
      </c>
      <c r="L23" s="38" t="n">
        <f aca="false">L22*Assumptions!L15</f>
        <v>1716.74044021162</v>
      </c>
      <c r="M23" s="38" t="n">
        <f aca="false">M22*Assumptions!M15</f>
        <v>1827.28644104162</v>
      </c>
      <c r="N23" s="38" t="n">
        <f aca="false">N22*Assumptions!N15</f>
        <v>1935.05861453227</v>
      </c>
    </row>
    <row r="24" customFormat="false" ht="15" hidden="false" customHeight="false" outlineLevel="0" collapsed="false">
      <c r="A24" s="3" t="s">
        <v>284</v>
      </c>
      <c r="B24" s="37" t="n">
        <f aca="false">B22-B23</f>
        <v>2134.22</v>
      </c>
      <c r="C24" s="37" t="n">
        <f aca="false">C22-C23</f>
        <v>2177.86</v>
      </c>
      <c r="D24" s="37" t="n">
        <f aca="false">D22-D23</f>
        <v>2537.01</v>
      </c>
      <c r="E24" s="37" t="n">
        <f aca="false">E22-E23</f>
        <v>2813.42626344623</v>
      </c>
      <c r="F24" s="37" t="n">
        <f aca="false">F22-F23</f>
        <v>3136.03546532796</v>
      </c>
      <c r="G24" s="37" t="n">
        <f aca="false">G22-G23</f>
        <v>3455.83230583181</v>
      </c>
      <c r="H24" s="37" t="n">
        <f aca="false">H22-H23</f>
        <v>3763.87909200065</v>
      </c>
      <c r="I24" s="37" t="n">
        <f aca="false">I22-I23</f>
        <v>4093.52327587955</v>
      </c>
      <c r="J24" s="37" t="n">
        <f aca="false">J22-J23</f>
        <v>4427.56379255857</v>
      </c>
      <c r="K24" s="37" t="n">
        <f aca="false">K22-K23</f>
        <v>4762.59862153418</v>
      </c>
      <c r="L24" s="37" t="n">
        <f aca="false">L22-L23</f>
        <v>5095.7216241202</v>
      </c>
      <c r="M24" s="37" t="n">
        <f aca="false">M22-M23</f>
        <v>5423.85022975846</v>
      </c>
      <c r="N24" s="37" t="n">
        <f aca="false">N22-N23</f>
        <v>5743.74541138943</v>
      </c>
    </row>
    <row r="25" customFormat="false" ht="15" hidden="false" customHeight="false" outlineLevel="0" collapsed="false">
      <c r="A25" s="4" t="s">
        <v>285</v>
      </c>
      <c r="B25" s="21" t="n">
        <f aca="false">Historical!B26</f>
        <v>-5.59</v>
      </c>
      <c r="C25" s="21" t="n">
        <f aca="false">Historical!C26</f>
        <v>-0.87</v>
      </c>
      <c r="D25" s="21" t="n">
        <f aca="false">Historical!D26</f>
        <v>3.52</v>
      </c>
      <c r="E25" s="38" t="n">
        <f aca="false">Assumptions!E16</f>
        <v>0</v>
      </c>
      <c r="F25" s="38" t="n">
        <f aca="false">Assumptions!F16</f>
        <v>0</v>
      </c>
      <c r="G25" s="38" t="n">
        <f aca="false">Assumptions!G16</f>
        <v>0</v>
      </c>
      <c r="H25" s="38" t="n">
        <f aca="false">Assumptions!H16</f>
        <v>0</v>
      </c>
      <c r="I25" s="38" t="n">
        <f aca="false">Assumptions!I16</f>
        <v>0</v>
      </c>
      <c r="J25" s="38" t="n">
        <f aca="false">Assumptions!J16</f>
        <v>0</v>
      </c>
      <c r="K25" s="38" t="n">
        <f aca="false">Assumptions!K16</f>
        <v>0</v>
      </c>
      <c r="L25" s="38" t="n">
        <f aca="false">Assumptions!L16</f>
        <v>0</v>
      </c>
      <c r="M25" s="38" t="n">
        <f aca="false">Assumptions!M16</f>
        <v>0</v>
      </c>
      <c r="N25" s="38" t="n">
        <f aca="false">Assumptions!N16</f>
        <v>0</v>
      </c>
    </row>
    <row r="26" customFormat="false" ht="15" hidden="false" customHeight="false" outlineLevel="0" collapsed="false">
      <c r="A26" s="4" t="s">
        <v>286</v>
      </c>
      <c r="B26" s="38" t="n">
        <f aca="false">B24-B25</f>
        <v>2139.81</v>
      </c>
      <c r="C26" s="38" t="n">
        <f aca="false">C24-C25</f>
        <v>2178.73</v>
      </c>
      <c r="D26" s="38" t="n">
        <f aca="false">D24-D25</f>
        <v>2533.49</v>
      </c>
      <c r="E26" s="38" t="n">
        <f aca="false">E24-E25</f>
        <v>2813.42626344623</v>
      </c>
      <c r="F26" s="38" t="n">
        <f aca="false">F24-F25</f>
        <v>3136.03546532796</v>
      </c>
      <c r="G26" s="38" t="n">
        <f aca="false">G24-G25</f>
        <v>3455.83230583181</v>
      </c>
      <c r="H26" s="38" t="n">
        <f aca="false">H24-H25</f>
        <v>3763.87909200065</v>
      </c>
      <c r="I26" s="38" t="n">
        <f aca="false">I24-I25</f>
        <v>4093.52327587955</v>
      </c>
      <c r="J26" s="38" t="n">
        <f aca="false">J24-J25</f>
        <v>4427.56379255857</v>
      </c>
      <c r="K26" s="38" t="n">
        <f aca="false">K24-K25</f>
        <v>4762.59862153418</v>
      </c>
      <c r="L26" s="38" t="n">
        <f aca="false">L24-L25</f>
        <v>5095.7216241202</v>
      </c>
      <c r="M26" s="38" t="n">
        <f aca="false">M24-M25</f>
        <v>5423.85022975846</v>
      </c>
      <c r="N26" s="38" t="n">
        <f aca="false">N24-N25</f>
        <v>5743.74541138943</v>
      </c>
    </row>
    <row r="27" customFormat="false" ht="15" hidden="false" customHeight="false" outlineLevel="0" collapsed="false">
      <c r="A27" s="4" t="s">
        <v>287</v>
      </c>
      <c r="B27" s="32" t="n">
        <f aca="false">Historical!B28</f>
        <v>88.84</v>
      </c>
      <c r="C27" s="32" t="n">
        <f aca="false">Historical!C28</f>
        <v>90.45</v>
      </c>
      <c r="D27" s="32" t="n">
        <f aca="false">Historical!D28</f>
        <v>105.18</v>
      </c>
      <c r="E27" s="39" t="n">
        <f aca="false">E26/Assumptions!$B$39</f>
        <v>116.788138789798</v>
      </c>
      <c r="F27" s="39" t="n">
        <f aca="false">F26/Assumptions!$B$39</f>
        <v>130.179969503029</v>
      </c>
      <c r="G27" s="39" t="n">
        <f aca="false">G26/Assumptions!$B$39</f>
        <v>143.455056281935</v>
      </c>
      <c r="H27" s="39" t="n">
        <f aca="false">H26/Assumptions!$B$39</f>
        <v>156.242386550463</v>
      </c>
      <c r="I27" s="39" t="n">
        <f aca="false">I26/Assumptions!$B$39</f>
        <v>169.926246404299</v>
      </c>
      <c r="J27" s="39" t="n">
        <f aca="false">J26/Assumptions!$B$39</f>
        <v>183.792602430825</v>
      </c>
      <c r="K27" s="39" t="n">
        <f aca="false">K26/Assumptions!$B$39</f>
        <v>197.700233355508</v>
      </c>
      <c r="L27" s="39" t="n">
        <f aca="false">L26/Assumptions!$B$39</f>
        <v>211.528502454138</v>
      </c>
      <c r="M27" s="39" t="n">
        <f aca="false">M26/Assumptions!$B$39</f>
        <v>225.149449138998</v>
      </c>
      <c r="N27" s="39" t="n">
        <f aca="false">N26/Assumptions!$B$39</f>
        <v>238.428618156473</v>
      </c>
      <c r="O27" s="2" t="s">
        <v>288</v>
      </c>
    </row>
    <row r="28" customFormat="false" ht="15" hidden="false" customHeight="false" outlineLevel="0" collapsed="false">
      <c r="A28" s="4" t="s">
        <v>289</v>
      </c>
      <c r="C28" s="28" t="n">
        <f aca="false">C8/B8-1</f>
        <v>0.0699732307965701</v>
      </c>
      <c r="D28" s="28" t="n">
        <f aca="false">D8/C8-1</f>
        <v>0.0673768173855953</v>
      </c>
      <c r="E28" s="28" t="n">
        <f aca="false">E8/D8-1</f>
        <v>0.0904753120968025</v>
      </c>
      <c r="F28" s="28" t="n">
        <f aca="false">F8/E8-1</f>
        <v>0.0899999999999999</v>
      </c>
      <c r="G28" s="28" t="n">
        <f aca="false">G8/F8-1</f>
        <v>0.085</v>
      </c>
      <c r="H28" s="28" t="n">
        <f aca="false">H8/G8-1</f>
        <v>0.0800000000000001</v>
      </c>
      <c r="I28" s="28" t="n">
        <f aca="false">I8/H8-1</f>
        <v>0.0800000000000001</v>
      </c>
      <c r="J28" s="28" t="n">
        <f aca="false">J8/I8-1</f>
        <v>0.075</v>
      </c>
      <c r="K28" s="28" t="n">
        <f aca="false">K8/J8-1</f>
        <v>0.0700000000000001</v>
      </c>
      <c r="L28" s="28" t="n">
        <f aca="false">L8/K8-1</f>
        <v>0.065</v>
      </c>
      <c r="M28" s="28" t="n">
        <f aca="false">M8/L8-1</f>
        <v>0.0600000000000001</v>
      </c>
      <c r="N28" s="28" t="n">
        <f aca="false">N8/M8-1</f>
        <v>0.0549999999999999</v>
      </c>
    </row>
    <row r="29" customFormat="false" ht="15" hidden="false" customHeight="false" outlineLevel="0" collapsed="false">
      <c r="A29" s="4" t="s">
        <v>290</v>
      </c>
      <c r="C29" s="28" t="n">
        <f aca="false">C24/B24-1</f>
        <v>0.0204477514033226</v>
      </c>
      <c r="D29" s="28" t="n">
        <f aca="false">D24/C24-1</f>
        <v>0.164909590148127</v>
      </c>
      <c r="E29" s="28" t="n">
        <f aca="false">E24/D24-1</f>
        <v>0.108953556921823</v>
      </c>
      <c r="F29" s="28" t="n">
        <f aca="false">F24/E24-1</f>
        <v>0.114667729548579</v>
      </c>
      <c r="G29" s="28" t="n">
        <f aca="false">G24/F24-1</f>
        <v>0.101974880080131</v>
      </c>
      <c r="H29" s="28" t="n">
        <f aca="false">H24/G24-1</f>
        <v>0.0891382332554158</v>
      </c>
      <c r="I29" s="28" t="n">
        <f aca="false">I24/H24-1</f>
        <v>0.0875809705416661</v>
      </c>
      <c r="J29" s="28" t="n">
        <f aca="false">J24/I24-1</f>
        <v>0.0816022028376628</v>
      </c>
      <c r="K29" s="28" t="n">
        <f aca="false">K24/J24-1</f>
        <v>0.0756702432020744</v>
      </c>
      <c r="L29" s="28" t="n">
        <f aca="false">L24/K24-1</f>
        <v>0.0699456387275212</v>
      </c>
      <c r="M29" s="28" t="n">
        <f aca="false">M24/L24-1</f>
        <v>0.064392961359014</v>
      </c>
      <c r="N29" s="28" t="n">
        <f aca="false">N24/M24-1</f>
        <v>0.0589793537948062</v>
      </c>
    </row>
    <row r="30" customFormat="false" ht="15" hidden="false" customHeight="false" outlineLevel="0" collapsed="false">
      <c r="A30" s="4" t="s">
        <v>291</v>
      </c>
      <c r="B30" s="28" t="n">
        <f aca="false">B23/B22</f>
        <v>0.267464569739863</v>
      </c>
      <c r="C30" s="28" t="n">
        <f aca="false">C23/C22</f>
        <v>0.255831912443577</v>
      </c>
      <c r="D30" s="28" t="n">
        <f aca="false">D23/D22</f>
        <v>0.228586284275628</v>
      </c>
      <c r="E30" s="28" t="n">
        <f aca="false">E23/E22</f>
        <v>0.252</v>
      </c>
      <c r="F30" s="28" t="n">
        <f aca="false">F23/F22</f>
        <v>0.252</v>
      </c>
      <c r="G30" s="28" t="n">
        <f aca="false">G23/G22</f>
        <v>0.252</v>
      </c>
      <c r="H30" s="28" t="n">
        <f aca="false">H23/H22</f>
        <v>0.252</v>
      </c>
      <c r="I30" s="28" t="n">
        <f aca="false">I23/I22</f>
        <v>0.252</v>
      </c>
      <c r="J30" s="28" t="n">
        <f aca="false">J23/J22</f>
        <v>0.252</v>
      </c>
      <c r="K30" s="28" t="n">
        <f aca="false">K23/K22</f>
        <v>0.252</v>
      </c>
      <c r="L30" s="28" t="n">
        <f aca="false">L23/L22</f>
        <v>0.252</v>
      </c>
      <c r="M30" s="28" t="n">
        <f aca="false">M23/M22</f>
        <v>0.252</v>
      </c>
      <c r="N30" s="28" t="n">
        <f aca="false">N23/N22</f>
        <v>0.252</v>
      </c>
    </row>
    <row r="32" customFormat="false" ht="15" hidden="false" customHeight="false" outlineLevel="0" collapsed="false">
      <c r="A32" s="25" t="s">
        <v>292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customFormat="false" ht="15" hidden="false" customHeight="false" outlineLevel="0" collapsed="false">
      <c r="A33" s="4" t="s">
        <v>293</v>
      </c>
      <c r="B33" s="21" t="n">
        <f aca="false">Historical!B31+Historical!B32+Historical!B33+Historical!B34+Historical!B35</f>
        <v>2958.68</v>
      </c>
      <c r="C33" s="21" t="n">
        <f aca="false">Historical!C31+Historical!C32+Historical!C33+Historical!C34+Historical!C35</f>
        <v>2993</v>
      </c>
      <c r="D33" s="21" t="n">
        <f aca="false">Historical!D31+Historical!D32+Historical!D33+Historical!D34+Historical!D35</f>
        <v>2888.96</v>
      </c>
      <c r="E33" s="38" t="n">
        <f aca="false">D33-E63-E16</f>
        <v>2988.861121648</v>
      </c>
      <c r="F33" s="38" t="n">
        <f aca="false">E33-F63-F16</f>
        <v>3115.36492486304</v>
      </c>
      <c r="G33" s="38" t="n">
        <f aca="false">F33-G63-G16</f>
        <v>3266.65198448511</v>
      </c>
      <c r="H33" s="38" t="n">
        <f aca="false">G33-H63-H16</f>
        <v>3440.81564365732</v>
      </c>
      <c r="I33" s="38" t="n">
        <f aca="false">H33-I63-I16</f>
        <v>3638.50093051783</v>
      </c>
      <c r="J33" s="38" t="n">
        <f aca="false">I33-J63-J16</f>
        <v>3857.65396139839</v>
      </c>
      <c r="K33" s="38" t="n">
        <f aca="false">J33-K63-K16</f>
        <v>4096.05732820872</v>
      </c>
      <c r="L33" s="38" t="n">
        <f aca="false">K33-L63-L16</f>
        <v>4351.31476933658</v>
      </c>
      <c r="M33" s="38" t="n">
        <f aca="false">L33-M63-M16</f>
        <v>4620.84331677423</v>
      </c>
      <c r="N33" s="38" t="n">
        <f aca="false">M33-N63-N16</f>
        <v>4901.87324845729</v>
      </c>
    </row>
    <row r="34" customFormat="false" ht="15" hidden="false" customHeight="false" outlineLevel="0" collapsed="false">
      <c r="A34" s="4" t="s">
        <v>177</v>
      </c>
      <c r="B34" s="21" t="n">
        <f aca="false">Historical!B36</f>
        <v>494.36</v>
      </c>
      <c r="C34" s="21" t="n">
        <f aca="false">Historical!C36</f>
        <v>483.62</v>
      </c>
      <c r="D34" s="21" t="n">
        <f aca="false">Historical!D36</f>
        <v>453.53</v>
      </c>
      <c r="E34" s="38" t="n">
        <f aca="false">D34+E20</f>
        <v>438.53</v>
      </c>
      <c r="F34" s="38" t="n">
        <f aca="false">E34+F20</f>
        <v>423.53</v>
      </c>
      <c r="G34" s="38" t="n">
        <f aca="false">F34+G20</f>
        <v>408.53</v>
      </c>
      <c r="H34" s="38" t="n">
        <f aca="false">G34+H20</f>
        <v>393.53</v>
      </c>
      <c r="I34" s="38" t="n">
        <f aca="false">H34+I20</f>
        <v>378.53</v>
      </c>
      <c r="J34" s="38" t="n">
        <f aca="false">I34+J20</f>
        <v>363.53</v>
      </c>
      <c r="K34" s="38" t="n">
        <f aca="false">J34+K20</f>
        <v>348.53</v>
      </c>
      <c r="L34" s="38" t="n">
        <f aca="false">K34+L20</f>
        <v>333.53</v>
      </c>
      <c r="M34" s="38" t="n">
        <f aca="false">L34+M20</f>
        <v>318.53</v>
      </c>
      <c r="N34" s="38" t="n">
        <f aca="false">M34+N20</f>
        <v>303.53</v>
      </c>
    </row>
    <row r="35" customFormat="false" ht="15" hidden="false" customHeight="false" outlineLevel="0" collapsed="false">
      <c r="A35" s="4" t="s">
        <v>294</v>
      </c>
      <c r="B35" s="21" t="n">
        <f aca="false">Historical!B37+Historical!B45</f>
        <v>2272.36</v>
      </c>
      <c r="C35" s="21" t="n">
        <f aca="false">Historical!C37+Historical!C45</f>
        <v>2381.81</v>
      </c>
      <c r="D35" s="21" t="n">
        <f aca="false">Historical!D37+Historical!D45</f>
        <v>3156.23</v>
      </c>
      <c r="E35" s="38" t="n">
        <f aca="false">D35-E64</f>
        <v>3156.23</v>
      </c>
      <c r="F35" s="38" t="n">
        <f aca="false">E35-F64</f>
        <v>3156.23</v>
      </c>
      <c r="G35" s="38" t="n">
        <f aca="false">F35-G64</f>
        <v>3156.23</v>
      </c>
      <c r="H35" s="38" t="n">
        <f aca="false">G35-H64</f>
        <v>3156.23</v>
      </c>
      <c r="I35" s="38" t="n">
        <f aca="false">H35-I64</f>
        <v>3156.23</v>
      </c>
      <c r="J35" s="38" t="n">
        <f aca="false">I35-J64</f>
        <v>3156.23</v>
      </c>
      <c r="K35" s="38" t="n">
        <f aca="false">J35-K64</f>
        <v>3156.23</v>
      </c>
      <c r="L35" s="38" t="n">
        <f aca="false">K35-L64</f>
        <v>3156.23</v>
      </c>
      <c r="M35" s="38" t="n">
        <f aca="false">L35-M64</f>
        <v>3156.23</v>
      </c>
      <c r="N35" s="38" t="n">
        <f aca="false">M35-N64</f>
        <v>3156.23</v>
      </c>
    </row>
    <row r="36" customFormat="false" ht="15" hidden="false" customHeight="false" outlineLevel="0" collapsed="false">
      <c r="A36" s="4" t="s">
        <v>188</v>
      </c>
      <c r="B36" s="21" t="n">
        <f aca="false">Historical!B47</f>
        <v>322.8</v>
      </c>
      <c r="C36" s="21" t="n">
        <f aca="false">Historical!C47</f>
        <v>132.78</v>
      </c>
      <c r="D36" s="21" t="n">
        <f aca="false">Historical!D47</f>
        <v>220</v>
      </c>
      <c r="E36" s="38" t="n">
        <f aca="false">E71</f>
        <v>816.328785608568</v>
      </c>
      <c r="F36" s="38" t="n">
        <f aca="false">F71</f>
        <v>1489.57479290908</v>
      </c>
      <c r="G36" s="38" t="n">
        <f aca="false">G71</f>
        <v>2184.92143651324</v>
      </c>
      <c r="H36" s="38" t="n">
        <f aca="false">H71</f>
        <v>2894.64503785268</v>
      </c>
      <c r="I36" s="38" t="n">
        <f aca="false">I71</f>
        <v>3652.04867741664</v>
      </c>
      <c r="J36" s="38" t="n">
        <f aca="false">J71</f>
        <v>4442.40081932682</v>
      </c>
      <c r="K36" s="38" t="n">
        <f aca="false">K71</f>
        <v>5264.75780232145</v>
      </c>
      <c r="L36" s="38" t="n">
        <f aca="false">L71</f>
        <v>6118.30459569278</v>
      </c>
      <c r="M36" s="38" t="n">
        <f aca="false">M71</f>
        <v>7001.77094261677</v>
      </c>
      <c r="N36" s="38" t="n">
        <f aca="false">N71</f>
        <v>7913.43237752247</v>
      </c>
    </row>
    <row r="37" customFormat="false" ht="15" hidden="false" customHeight="false" outlineLevel="0" collapsed="false">
      <c r="A37" s="4" t="s">
        <v>295</v>
      </c>
      <c r="B37" s="21" t="n">
        <f aca="false">Historical!B48+Historical!B38+Historical!B49</f>
        <v>583.55</v>
      </c>
      <c r="C37" s="21" t="n">
        <f aca="false">Historical!C48+Historical!C38+Historical!C49</f>
        <v>254.7</v>
      </c>
      <c r="D37" s="21" t="n">
        <f aca="false">Historical!D48+Historical!D38+Historical!D49</f>
        <v>222.44</v>
      </c>
      <c r="E37" s="38" t="n">
        <f aca="false">D37</f>
        <v>222.44</v>
      </c>
      <c r="F37" s="38" t="n">
        <f aca="false">E37</f>
        <v>222.44</v>
      </c>
      <c r="G37" s="38" t="n">
        <f aca="false">F37</f>
        <v>222.44</v>
      </c>
      <c r="H37" s="38" t="n">
        <f aca="false">G37</f>
        <v>222.44</v>
      </c>
      <c r="I37" s="38" t="n">
        <f aca="false">H37</f>
        <v>222.44</v>
      </c>
      <c r="J37" s="38" t="n">
        <f aca="false">I37</f>
        <v>222.44</v>
      </c>
      <c r="K37" s="38" t="n">
        <f aca="false">J37</f>
        <v>222.44</v>
      </c>
      <c r="L37" s="38" t="n">
        <f aca="false">K37</f>
        <v>222.44</v>
      </c>
      <c r="M37" s="38" t="n">
        <f aca="false">L37</f>
        <v>222.44</v>
      </c>
      <c r="N37" s="38" t="n">
        <f aca="false">M37</f>
        <v>222.44</v>
      </c>
    </row>
    <row r="38" customFormat="false" ht="15" hidden="false" customHeight="false" outlineLevel="0" collapsed="false">
      <c r="A38" s="4" t="s">
        <v>185</v>
      </c>
      <c r="B38" s="21" t="n">
        <f aca="false">Historical!B44</f>
        <v>1181.22</v>
      </c>
      <c r="C38" s="21" t="n">
        <f aca="false">Historical!C44</f>
        <v>1236.51</v>
      </c>
      <c r="D38" s="21" t="n">
        <f aca="false">Historical!D44</f>
        <v>1345.93</v>
      </c>
      <c r="E38" s="38" t="n">
        <f aca="false">Assumptions!E17*E9/365</f>
        <v>1457.01527107069</v>
      </c>
      <c r="F38" s="38" t="n">
        <f aca="false">Assumptions!F17*F9/365</f>
        <v>1582.74478612872</v>
      </c>
      <c r="G38" s="38" t="n">
        <f aca="false">Assumptions!G17*G9/365</f>
        <v>1714.34758425862</v>
      </c>
      <c r="H38" s="38" t="n">
        <f aca="false">Assumptions!H17*H9/365</f>
        <v>1851.49539099931</v>
      </c>
      <c r="I38" s="38" t="n">
        <f aca="false">Assumptions!I17*I9/365</f>
        <v>1999.61502227926</v>
      </c>
      <c r="J38" s="38" t="n">
        <f aca="false">Assumptions!J17*J9/365</f>
        <v>2149.5861489502</v>
      </c>
      <c r="K38" s="38" t="n">
        <f aca="false">Assumptions!K17*K9/365</f>
        <v>2300.05717937672</v>
      </c>
      <c r="L38" s="38" t="n">
        <f aca="false">Assumptions!L17*L9/365</f>
        <v>2449.56089603621</v>
      </c>
      <c r="M38" s="38" t="n">
        <f aca="false">Assumptions!M17*M9/365</f>
        <v>2596.53454979838</v>
      </c>
      <c r="N38" s="38" t="n">
        <f aca="false">Assumptions!N17*N9/365</f>
        <v>2739.34395003729</v>
      </c>
    </row>
    <row r="39" customFormat="false" ht="15" hidden="false" customHeight="false" outlineLevel="0" collapsed="false">
      <c r="A39" s="4" t="s">
        <v>187</v>
      </c>
      <c r="B39" s="21" t="n">
        <f aca="false">Historical!B46</f>
        <v>393.33</v>
      </c>
      <c r="C39" s="21" t="n">
        <f aca="false">Historical!C46</f>
        <v>448.61</v>
      </c>
      <c r="D39" s="21" t="n">
        <f aca="false">Historical!D46</f>
        <v>469.21</v>
      </c>
      <c r="E39" s="38" t="n">
        <f aca="false">Assumptions!E18*E8/365</f>
        <v>514.956232168767</v>
      </c>
      <c r="F39" s="38" t="n">
        <f aca="false">Assumptions!F18*F8/365</f>
        <v>561.302293063956</v>
      </c>
      <c r="G39" s="38" t="n">
        <f aca="false">Assumptions!G18*G8/365</f>
        <v>609.012987974392</v>
      </c>
      <c r="H39" s="38" t="n">
        <f aca="false">Assumptions!H18*H8/365</f>
        <v>657.734027012344</v>
      </c>
      <c r="I39" s="38" t="n">
        <f aca="false">Assumptions!I18*I8/365</f>
        <v>710.352749173331</v>
      </c>
      <c r="J39" s="38" t="n">
        <f aca="false">Assumptions!J18*J8/365</f>
        <v>763.629205361331</v>
      </c>
      <c r="K39" s="38" t="n">
        <f aca="false">Assumptions!K18*K8/365</f>
        <v>817.083249736625</v>
      </c>
      <c r="L39" s="38" t="n">
        <f aca="false">Assumptions!L18*L8/365</f>
        <v>870.193660969505</v>
      </c>
      <c r="M39" s="38" t="n">
        <f aca="false">Assumptions!M18*M8/365</f>
        <v>922.405280627676</v>
      </c>
      <c r="N39" s="38" t="n">
        <f aca="false">Assumptions!N18*N8/365</f>
        <v>973.137571062198</v>
      </c>
    </row>
    <row r="40" customFormat="false" ht="15" hidden="false" customHeight="false" outlineLevel="0" collapsed="false">
      <c r="A40" s="4" t="s">
        <v>296</v>
      </c>
      <c r="B40" s="21" t="n">
        <f aca="false">Historical!B39+Historical!B40+Historical!B41+Historical!B42+Historical!B50+Historical!B51+Historical!B52</f>
        <v>867.26</v>
      </c>
      <c r="C40" s="21" t="n">
        <f aca="false">Historical!C39+Historical!C40+Historical!C41+Historical!C42+Historical!C50+Historical!C51+Historical!C52</f>
        <v>907.52</v>
      </c>
      <c r="D40" s="21" t="n">
        <f aca="false">Historical!D39+Historical!D40+Historical!D41+Historical!D42+Historical!D50+Historical!D51+Historical!D52</f>
        <v>975.64</v>
      </c>
      <c r="E40" s="38" t="n">
        <f aca="false">Assumptions!E20*E8</f>
        <v>1065.1011402024</v>
      </c>
      <c r="F40" s="38" t="n">
        <f aca="false">Assumptions!F20*F8</f>
        <v>1160.96024282062</v>
      </c>
      <c r="G40" s="38" t="n">
        <f aca="false">Assumptions!G20*G8</f>
        <v>1259.64186346037</v>
      </c>
      <c r="H40" s="38" t="n">
        <f aca="false">Assumptions!H20*H8</f>
        <v>1360.4132125372</v>
      </c>
      <c r="I40" s="38" t="n">
        <f aca="false">Assumptions!I20*I8</f>
        <v>1469.24626954017</v>
      </c>
      <c r="J40" s="38" t="n">
        <f aca="false">Assumptions!J20*J8</f>
        <v>1579.43973975569</v>
      </c>
      <c r="K40" s="38" t="n">
        <f aca="false">Assumptions!K20*K8</f>
        <v>1690.00052153859</v>
      </c>
      <c r="L40" s="38" t="n">
        <f aca="false">Assumptions!L20*L8</f>
        <v>1799.85055543859</v>
      </c>
      <c r="M40" s="38" t="n">
        <f aca="false">Assumptions!M20*M8</f>
        <v>1907.84158876491</v>
      </c>
      <c r="N40" s="38" t="n">
        <f aca="false">Assumptions!N20*N8</f>
        <v>2012.77287614698</v>
      </c>
    </row>
    <row r="41" customFormat="false" ht="15" hidden="false" customHeight="false" outlineLevel="0" collapsed="false">
      <c r="A41" s="3" t="s">
        <v>297</v>
      </c>
      <c r="B41" s="37" t="n">
        <f aca="false">B33+B34+B35+B36+B37+B38+B39+B40</f>
        <v>9073.56</v>
      </c>
      <c r="C41" s="37" t="n">
        <f aca="false">C33+C34+C35+C36+C37+C38+C39+C40</f>
        <v>8838.55</v>
      </c>
      <c r="D41" s="37" t="n">
        <f aca="false">D33+D34+D35+D36+D37+D38+D39+D40</f>
        <v>9731.94</v>
      </c>
      <c r="E41" s="37" t="n">
        <f aca="false">E33+E34+E35+E36+E37+E38+E39+E40</f>
        <v>10659.4625506984</v>
      </c>
      <c r="F41" s="37" t="n">
        <f aca="false">F33+F34+F35+F36+F37+F38+F39+F40</f>
        <v>11712.1470397854</v>
      </c>
      <c r="G41" s="37" t="n">
        <f aca="false">G33+G34+G35+G36+G37+G38+G39+G40</f>
        <v>12821.7758566917</v>
      </c>
      <c r="H41" s="37" t="n">
        <f aca="false">H33+H34+H35+H36+H37+H38+H39+H40</f>
        <v>13977.3033120589</v>
      </c>
      <c r="I41" s="37" t="n">
        <f aca="false">I33+I34+I35+I36+I37+I38+I39+I40</f>
        <v>15226.9636489272</v>
      </c>
      <c r="J41" s="37" t="n">
        <f aca="false">J33+J34+J35+J36+J37+J38+J39+J40</f>
        <v>16534.9098747924</v>
      </c>
      <c r="K41" s="37" t="n">
        <f aca="false">K33+K34+K35+K36+K37+K38+K39+K40</f>
        <v>17895.1560811821</v>
      </c>
      <c r="L41" s="37" t="n">
        <f aca="false">L33+L34+L35+L36+L37+L38+L39+L40</f>
        <v>19301.4244774737</v>
      </c>
      <c r="M41" s="37" t="n">
        <f aca="false">M33+M34+M35+M36+M37+M38+M39+M40</f>
        <v>20746.595678582</v>
      </c>
      <c r="N41" s="37" t="n">
        <f aca="false">N33+N34+N35+N36+N37+N38+N39+N40</f>
        <v>22222.7600232262</v>
      </c>
    </row>
    <row r="43" customFormat="false" ht="15" hidden="false" customHeight="false" outlineLevel="0" collapsed="false">
      <c r="A43" s="4" t="s">
        <v>298</v>
      </c>
      <c r="B43" s="21" t="n">
        <f aca="false">Historical!B69+Historical!B70</f>
        <v>1627.48</v>
      </c>
      <c r="C43" s="21" t="n">
        <f aca="false">Historical!C69+Historical!C70</f>
        <v>1752.23</v>
      </c>
      <c r="D43" s="21" t="n">
        <f aca="false">Historical!D69+Historical!D70</f>
        <v>1896.41</v>
      </c>
      <c r="E43" s="38" t="n">
        <f aca="false">Assumptions!E19*(E9+E13)/365</f>
        <v>2045.31559756659</v>
      </c>
      <c r="F43" s="38" t="n">
        <f aca="false">Assumptions!F19*(F9+F13)/365</f>
        <v>2223.68521818322</v>
      </c>
      <c r="G43" s="38" t="n">
        <f aca="false">Assumptions!G19*(G9+G13)/365</f>
        <v>2409.60144686212</v>
      </c>
      <c r="H43" s="38" t="n">
        <f aca="false">Assumptions!H19*(H9+H13)/365</f>
        <v>2602.36956261109</v>
      </c>
      <c r="I43" s="38" t="n">
        <f aca="false">Assumptions!I19*(I9+I13)/365</f>
        <v>2810.55912761998</v>
      </c>
      <c r="J43" s="38" t="n">
        <f aca="false">Assumptions!J19*(J9+J13)/365</f>
        <v>3021.35106219148</v>
      </c>
      <c r="K43" s="38" t="n">
        <f aca="false">Assumptions!K19*(K9+K13)/365</f>
        <v>3232.84563654488</v>
      </c>
      <c r="L43" s="38" t="n">
        <f aca="false">Assumptions!L19*(L9+L13)/365</f>
        <v>3442.9806029203</v>
      </c>
      <c r="M43" s="38" t="n">
        <f aca="false">Assumptions!M19*(M9+M13)/365</f>
        <v>3649.55943909552</v>
      </c>
      <c r="N43" s="38" t="n">
        <f aca="false">Assumptions!N19*(N9+N13)/365</f>
        <v>3850.28520824577</v>
      </c>
    </row>
    <row r="44" customFormat="false" ht="15" hidden="false" customHeight="false" outlineLevel="0" collapsed="false">
      <c r="A44" s="4" t="s">
        <v>299</v>
      </c>
      <c r="B44" s="21" t="n">
        <f aca="false">Historical!B63+Historical!B64+Historical!B65+Historical!B71+Historical!B72+Historical!B73+Historical!B74</f>
        <v>1415.1</v>
      </c>
      <c r="C44" s="21" t="n">
        <f aca="false">Historical!C63+Historical!C64+Historical!C65+Historical!C71+Historical!C72+Historical!C73+Historical!C74</f>
        <v>1458.49</v>
      </c>
      <c r="D44" s="21" t="n">
        <f aca="false">Historical!D63+Historical!D64+Historical!D65+Historical!D71+Historical!D72+Historical!D73+Historical!D74</f>
        <v>1319.37</v>
      </c>
      <c r="E44" s="38" t="n">
        <f aca="false">Assumptions!E21*E8</f>
        <v>1441.0191896856</v>
      </c>
      <c r="F44" s="38" t="n">
        <f aca="false">Assumptions!F21*F8</f>
        <v>1570.7109167573</v>
      </c>
      <c r="G44" s="38" t="n">
        <f aca="false">Assumptions!G21*G8</f>
        <v>1704.22134468168</v>
      </c>
      <c r="H44" s="38" t="n">
        <f aca="false">Assumptions!H21*H8</f>
        <v>1840.55905225621</v>
      </c>
      <c r="I44" s="38" t="n">
        <f aca="false">Assumptions!I21*I8</f>
        <v>1987.80377643671</v>
      </c>
      <c r="J44" s="38" t="n">
        <f aca="false">Assumptions!J21*J8</f>
        <v>2136.88905966946</v>
      </c>
      <c r="K44" s="38" t="n">
        <f aca="false">Assumptions!K21*K8</f>
        <v>2286.47129384632</v>
      </c>
      <c r="L44" s="38" t="n">
        <f aca="false">Assumptions!L21*L8</f>
        <v>2435.09192794633</v>
      </c>
      <c r="M44" s="38" t="n">
        <f aca="false">Assumptions!M21*M8</f>
        <v>2581.19744362311</v>
      </c>
      <c r="N44" s="38" t="n">
        <f aca="false">Assumptions!N21*N8</f>
        <v>2723.16330302238</v>
      </c>
    </row>
    <row r="45" customFormat="false" ht="15" hidden="false" customHeight="false" outlineLevel="0" collapsed="false">
      <c r="A45" s="4" t="s">
        <v>300</v>
      </c>
      <c r="B45" s="21" t="n">
        <f aca="false">Historical!B61+Historical!B62+Historical!B67+Historical!B68</f>
        <v>2064.96</v>
      </c>
      <c r="C45" s="21" t="n">
        <f aca="false">Historical!C61+Historical!C62+Historical!C67+Historical!C68</f>
        <v>1246.51</v>
      </c>
      <c r="D45" s="21" t="n">
        <f aca="false">Historical!D61+Historical!D62+Historical!D67+Historical!D68</f>
        <v>1380.28</v>
      </c>
      <c r="E45" s="38" t="n">
        <f aca="false">D45+E66</f>
        <v>1380.28</v>
      </c>
      <c r="F45" s="38" t="n">
        <f aca="false">E45+F66</f>
        <v>1380.28</v>
      </c>
      <c r="G45" s="38" t="n">
        <f aca="false">F45+G66</f>
        <v>1380.28</v>
      </c>
      <c r="H45" s="38" t="n">
        <f aca="false">G45+H66</f>
        <v>1380.28</v>
      </c>
      <c r="I45" s="38" t="n">
        <f aca="false">H45+I66</f>
        <v>1380.28</v>
      </c>
      <c r="J45" s="38" t="n">
        <f aca="false">I45+J66</f>
        <v>1380.28</v>
      </c>
      <c r="K45" s="38" t="n">
        <f aca="false">J45+K66</f>
        <v>1380.28</v>
      </c>
      <c r="L45" s="38" t="n">
        <f aca="false">K45+L66</f>
        <v>1380.28</v>
      </c>
      <c r="M45" s="38" t="n">
        <f aca="false">L45+M66</f>
        <v>1380.28</v>
      </c>
      <c r="N45" s="38" t="n">
        <f aca="false">M45+N66</f>
        <v>1380.28</v>
      </c>
    </row>
    <row r="46" customFormat="false" ht="15" hidden="false" customHeight="false" outlineLevel="0" collapsed="false">
      <c r="A46" s="4" t="s">
        <v>301</v>
      </c>
      <c r="B46" s="21" t="n">
        <f aca="false">Historical!B60</f>
        <v>3966.02</v>
      </c>
      <c r="C46" s="21" t="n">
        <f aca="false">Historical!C60</f>
        <v>4381.32</v>
      </c>
      <c r="D46" s="21" t="n">
        <f aca="false">Historical!D60</f>
        <v>5135.88</v>
      </c>
      <c r="E46" s="38" t="n">
        <f aca="false">D46+E24+E67</f>
        <v>5792.84776344623</v>
      </c>
      <c r="F46" s="38" t="n">
        <f aca="false">E46+F24+F67</f>
        <v>6537.47090484489</v>
      </c>
      <c r="G46" s="38" t="n">
        <f aca="false">F46+G24+G67</f>
        <v>7327.67306514794</v>
      </c>
      <c r="H46" s="38" t="n">
        <f aca="false">G46+H24+H67</f>
        <v>8154.09469719155</v>
      </c>
      <c r="I46" s="38" t="n">
        <f aca="false">H46+I24+I67</f>
        <v>9048.32074487055</v>
      </c>
      <c r="J46" s="38" t="n">
        <f aca="false">I46+J24+J67</f>
        <v>9996.3897529315</v>
      </c>
      <c r="K46" s="38" t="n">
        <f aca="false">J46+K24+K67</f>
        <v>10995.5591507909</v>
      </c>
      <c r="L46" s="38" t="n">
        <f aca="false">K46+L24+L67</f>
        <v>12043.071946607</v>
      </c>
      <c r="M46" s="38" t="n">
        <f aca="false">L46+M24+M67</f>
        <v>13135.5587958633</v>
      </c>
      <c r="N46" s="38" t="n">
        <f aca="false">M46+N24+N67</f>
        <v>14269.0315119581</v>
      </c>
    </row>
    <row r="47" customFormat="false" ht="15" hidden="false" customHeight="false" outlineLevel="0" collapsed="false">
      <c r="A47" s="3" t="s">
        <v>302</v>
      </c>
      <c r="B47" s="37" t="n">
        <f aca="false">B43+B44+B45+B46</f>
        <v>9073.56</v>
      </c>
      <c r="C47" s="37" t="n">
        <f aca="false">C43+C44+C45+C46</f>
        <v>8838.55</v>
      </c>
      <c r="D47" s="37" t="n">
        <f aca="false">D43+D44+D45+D46</f>
        <v>9731.94</v>
      </c>
      <c r="E47" s="37" t="n">
        <f aca="false">E43+E44+E45+E46</f>
        <v>10659.4625506984</v>
      </c>
      <c r="F47" s="37" t="n">
        <f aca="false">F43+F44+F45+F46</f>
        <v>11712.1470397854</v>
      </c>
      <c r="G47" s="37" t="n">
        <f aca="false">G43+G44+G45+G46</f>
        <v>12821.7758566917</v>
      </c>
      <c r="H47" s="37" t="n">
        <f aca="false">H43+H44+H45+H46</f>
        <v>13977.3033120589</v>
      </c>
      <c r="I47" s="37" t="n">
        <f aca="false">I43+I44+I45+I46</f>
        <v>15226.9636489272</v>
      </c>
      <c r="J47" s="37" t="n">
        <f aca="false">J43+J44+J45+J46</f>
        <v>16534.9098747924</v>
      </c>
      <c r="K47" s="37" t="n">
        <f aca="false">K43+K44+K45+K46</f>
        <v>17895.1560811821</v>
      </c>
      <c r="L47" s="37" t="n">
        <f aca="false">L43+L44+L45+L46</f>
        <v>19301.4244774737</v>
      </c>
      <c r="M47" s="37" t="n">
        <f aca="false">M43+M44+M45+M46</f>
        <v>20746.595678582</v>
      </c>
      <c r="N47" s="37" t="n">
        <f aca="false">N43+N44+N45+N46</f>
        <v>22222.7600232262</v>
      </c>
    </row>
    <row r="48" customFormat="false" ht="15" hidden="false" customHeight="false" outlineLevel="0" collapsed="false">
      <c r="A48" s="4" t="s">
        <v>303</v>
      </c>
      <c r="B48" s="39" t="n">
        <f aca="false">ROUND(B41-B47,2)</f>
        <v>0</v>
      </c>
      <c r="C48" s="39" t="n">
        <f aca="false">ROUND(C41-C47,2)</f>
        <v>0</v>
      </c>
      <c r="D48" s="39" t="n">
        <f aca="false">ROUND(D41-D47,2)</f>
        <v>0</v>
      </c>
      <c r="E48" s="39" t="n">
        <f aca="false">ROUND(E41-E47,2)</f>
        <v>0</v>
      </c>
      <c r="F48" s="39" t="n">
        <f aca="false">ROUND(F41-F47,2)</f>
        <v>0</v>
      </c>
      <c r="G48" s="39" t="n">
        <f aca="false">ROUND(G41-G47,2)</f>
        <v>0</v>
      </c>
      <c r="H48" s="39" t="n">
        <f aca="false">ROUND(H41-H47,2)</f>
        <v>0</v>
      </c>
      <c r="I48" s="39" t="n">
        <f aca="false">ROUND(I41-I47,2)</f>
        <v>0</v>
      </c>
      <c r="J48" s="39" t="n">
        <f aca="false">ROUND(J41-J47,2)</f>
        <v>0</v>
      </c>
      <c r="K48" s="39" t="n">
        <f aca="false">ROUND(K41-K47,2)</f>
        <v>0</v>
      </c>
      <c r="L48" s="39" t="n">
        <f aca="false">ROUND(L41-L47,2)</f>
        <v>0</v>
      </c>
      <c r="M48" s="39" t="n">
        <f aca="false">ROUND(M41-M47,2)</f>
        <v>0</v>
      </c>
      <c r="N48" s="39" t="n">
        <f aca="false">ROUND(N41-N47,2)</f>
        <v>0</v>
      </c>
    </row>
    <row r="50" customFormat="false" ht="15" hidden="false" customHeight="false" outlineLevel="0" collapsed="false">
      <c r="A50" s="4" t="s">
        <v>304</v>
      </c>
      <c r="B50" s="38" t="n">
        <f aca="false">B38+B39+B40-B43-B44</f>
        <v>-600.77</v>
      </c>
      <c r="C50" s="38" t="n">
        <f aca="false">C38+C39+C40-C43-C44</f>
        <v>-618.08</v>
      </c>
      <c r="D50" s="38" t="n">
        <f aca="false">D38+D39+D40-D43-D44</f>
        <v>-425</v>
      </c>
      <c r="E50" s="38" t="n">
        <f aca="false">E38+E39+E40-E43-E44</f>
        <v>-449.262143810334</v>
      </c>
      <c r="F50" s="38" t="n">
        <f aca="false">F38+F39+F40-F43-F44</f>
        <v>-489.388812927224</v>
      </c>
      <c r="G50" s="38" t="n">
        <f aca="false">G38+G39+G40-G43-G44</f>
        <v>-530.82035585041</v>
      </c>
      <c r="H50" s="38" t="n">
        <f aca="false">H38+H39+H40-H43-H44</f>
        <v>-573.285984318443</v>
      </c>
      <c r="I50" s="38" t="n">
        <f aca="false">I38+I39+I40-I43-I44</f>
        <v>-619.148863063919</v>
      </c>
      <c r="J50" s="38" t="n">
        <f aca="false">J38+J39+J40-J43-J44</f>
        <v>-665.585027793713</v>
      </c>
      <c r="K50" s="38" t="n">
        <f aca="false">K38+K39+K40-K43-K44</f>
        <v>-712.175979739273</v>
      </c>
      <c r="L50" s="38" t="n">
        <f aca="false">L38+L39+L40-L43-L44</f>
        <v>-758.467418422325</v>
      </c>
      <c r="M50" s="38" t="n">
        <f aca="false">M38+M39+M40-M43-M44</f>
        <v>-803.975463527665</v>
      </c>
      <c r="N50" s="38" t="n">
        <f aca="false">N38+N39+N40-N43-N44</f>
        <v>-848.194114021686</v>
      </c>
    </row>
    <row r="51" customFormat="false" ht="15" hidden="false" customHeight="false" outlineLevel="0" collapsed="false">
      <c r="A51" s="3" t="s">
        <v>305</v>
      </c>
      <c r="B51" s="37" t="n">
        <f aca="false">B36+B35+B37-B45</f>
        <v>1113.75</v>
      </c>
      <c r="C51" s="37" t="n">
        <f aca="false">C36+C35+C37-C45</f>
        <v>1522.78</v>
      </c>
      <c r="D51" s="37" t="n">
        <f aca="false">D36+D35+D37-D45</f>
        <v>2218.39</v>
      </c>
      <c r="E51" s="37" t="n">
        <f aca="false">E36+E35+E37-E45</f>
        <v>2814.71878560857</v>
      </c>
      <c r="F51" s="37" t="n">
        <f aca="false">F36+F35+F37-F45</f>
        <v>3487.96479290907</v>
      </c>
      <c r="G51" s="37" t="n">
        <f aca="false">G36+G35+G37-G45</f>
        <v>4183.31143651324</v>
      </c>
      <c r="H51" s="37" t="n">
        <f aca="false">H36+H35+H37-H45</f>
        <v>4893.03503785268</v>
      </c>
      <c r="I51" s="37" t="n">
        <f aca="false">I36+I35+I37-I45</f>
        <v>5650.43867741664</v>
      </c>
      <c r="J51" s="37" t="n">
        <f aca="false">J36+J35+J37-J45</f>
        <v>6440.79081932682</v>
      </c>
      <c r="K51" s="37" t="n">
        <f aca="false">K36+K35+K37-K45</f>
        <v>7263.14780232145</v>
      </c>
      <c r="L51" s="37" t="n">
        <f aca="false">L36+L35+L37-L45</f>
        <v>8116.69459569278</v>
      </c>
      <c r="M51" s="37" t="n">
        <f aca="false">M36+M35+M37-M45</f>
        <v>9000.16094261677</v>
      </c>
      <c r="N51" s="37" t="n">
        <f aca="false">N36+N35+N37-N45</f>
        <v>9911.82237752247</v>
      </c>
    </row>
    <row r="53" customFormat="false" ht="15" hidden="false" customHeight="false" outlineLevel="0" collapsed="false">
      <c r="A53" s="25" t="s">
        <v>306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</row>
    <row r="54" customFormat="false" ht="15" hidden="false" customHeight="false" outlineLevel="0" collapsed="false">
      <c r="A54" s="4" t="s">
        <v>284</v>
      </c>
      <c r="E54" s="38" t="n">
        <f aca="false">E24</f>
        <v>2813.42626344623</v>
      </c>
      <c r="F54" s="38" t="n">
        <f aca="false">F24</f>
        <v>3136.03546532796</v>
      </c>
      <c r="G54" s="38" t="n">
        <f aca="false">G24</f>
        <v>3455.83230583181</v>
      </c>
      <c r="H54" s="38" t="n">
        <f aca="false">H24</f>
        <v>3763.87909200065</v>
      </c>
      <c r="I54" s="38" t="n">
        <f aca="false">I24</f>
        <v>4093.52327587955</v>
      </c>
      <c r="J54" s="38" t="n">
        <f aca="false">J24</f>
        <v>4427.56379255857</v>
      </c>
      <c r="K54" s="38" t="n">
        <f aca="false">K24</f>
        <v>4762.59862153418</v>
      </c>
      <c r="L54" s="38" t="n">
        <f aca="false">L24</f>
        <v>5095.7216241202</v>
      </c>
      <c r="M54" s="38" t="n">
        <f aca="false">M24</f>
        <v>5423.85022975846</v>
      </c>
      <c r="N54" s="38" t="n">
        <f aca="false">N24</f>
        <v>5743.74541138943</v>
      </c>
      <c r="O54" s="2" t="s">
        <v>307</v>
      </c>
    </row>
    <row r="55" customFormat="false" ht="15" hidden="false" customHeight="false" outlineLevel="0" collapsed="false">
      <c r="A55" s="4" t="s">
        <v>308</v>
      </c>
      <c r="E55" s="38" t="n">
        <f aca="false">E16</f>
        <v>317.7856</v>
      </c>
      <c r="F55" s="38" t="n">
        <f aca="false">F16</f>
        <v>328.77472338128</v>
      </c>
      <c r="G55" s="38" t="n">
        <f aca="false">G16</f>
        <v>342.690141734934</v>
      </c>
      <c r="H55" s="38" t="n">
        <f aca="false">H16</f>
        <v>359.331718293362</v>
      </c>
      <c r="I55" s="38" t="n">
        <f aca="false">I16</f>
        <v>378.489720802305</v>
      </c>
      <c r="J55" s="38" t="n">
        <f aca="false">J16</f>
        <v>400.235102356961</v>
      </c>
      <c r="K55" s="38" t="n">
        <f aca="false">K16</f>
        <v>424.341935753823</v>
      </c>
      <c r="L55" s="38" t="n">
        <f aca="false">L16</f>
        <v>450.566306102959</v>
      </c>
      <c r="M55" s="38" t="n">
        <f aca="false">M16</f>
        <v>478.644624627024</v>
      </c>
      <c r="N55" s="38" t="n">
        <f aca="false">N16</f>
        <v>508.292764845165</v>
      </c>
    </row>
    <row r="56" customFormat="false" ht="15" hidden="false" customHeight="false" outlineLevel="0" collapsed="false">
      <c r="A56" s="4" t="s">
        <v>309</v>
      </c>
      <c r="E56" s="38" t="n">
        <f aca="false">-E20</f>
        <v>15</v>
      </c>
      <c r="F56" s="38" t="n">
        <f aca="false">-F20</f>
        <v>15</v>
      </c>
      <c r="G56" s="38" t="n">
        <f aca="false">-G20</f>
        <v>15</v>
      </c>
      <c r="H56" s="38" t="n">
        <f aca="false">-H20</f>
        <v>15</v>
      </c>
      <c r="I56" s="38" t="n">
        <f aca="false">-I20</f>
        <v>15</v>
      </c>
      <c r="J56" s="38" t="n">
        <f aca="false">-J20</f>
        <v>15</v>
      </c>
      <c r="K56" s="38" t="n">
        <f aca="false">-K20</f>
        <v>15</v>
      </c>
      <c r="L56" s="38" t="n">
        <f aca="false">-L20</f>
        <v>15</v>
      </c>
      <c r="M56" s="38" t="n">
        <f aca="false">-M20</f>
        <v>15</v>
      </c>
      <c r="N56" s="38" t="n">
        <f aca="false">-N20</f>
        <v>15</v>
      </c>
    </row>
    <row r="57" customFormat="false" ht="15" hidden="false" customHeight="false" outlineLevel="0" collapsed="false">
      <c r="A57" s="4" t="s">
        <v>310</v>
      </c>
      <c r="E57" s="38" t="n">
        <f aca="false">-(E38-D38)</f>
        <v>-111.085271070685</v>
      </c>
      <c r="F57" s="38" t="n">
        <f aca="false">-(F38-E38)</f>
        <v>-125.729515058038</v>
      </c>
      <c r="G57" s="38" t="n">
        <f aca="false">-(G38-F38)</f>
        <v>-131.602798129901</v>
      </c>
      <c r="H57" s="38" t="n">
        <f aca="false">-(H38-G38)</f>
        <v>-137.14780674069</v>
      </c>
      <c r="I57" s="38" t="n">
        <f aca="false">-(I38-H38)</f>
        <v>-148.119631279945</v>
      </c>
      <c r="J57" s="38" t="n">
        <f aca="false">-(J38-I38)</f>
        <v>-149.971126670944</v>
      </c>
      <c r="K57" s="38" t="n">
        <f aca="false">-(K38-J38)</f>
        <v>-150.471030426515</v>
      </c>
      <c r="L57" s="38" t="n">
        <f aca="false">-(L38-K38)</f>
        <v>-149.503716659487</v>
      </c>
      <c r="M57" s="38" t="n">
        <f aca="false">-(M38-L38)</f>
        <v>-146.973653762173</v>
      </c>
      <c r="N57" s="38" t="n">
        <f aca="false">-(N38-M38)</f>
        <v>-142.809400238911</v>
      </c>
    </row>
    <row r="58" customFormat="false" ht="15" hidden="false" customHeight="false" outlineLevel="0" collapsed="false">
      <c r="A58" s="4" t="s">
        <v>311</v>
      </c>
      <c r="E58" s="38" t="n">
        <f aca="false">-(E39-D39)</f>
        <v>-45.7462321687671</v>
      </c>
      <c r="F58" s="38" t="n">
        <f aca="false">-(F39-E39)</f>
        <v>-46.3460608951891</v>
      </c>
      <c r="G58" s="38" t="n">
        <f aca="false">-(G39-F39)</f>
        <v>-47.7106949104362</v>
      </c>
      <c r="H58" s="38" t="n">
        <f aca="false">-(H39-G39)</f>
        <v>-48.7210390379515</v>
      </c>
      <c r="I58" s="38" t="n">
        <f aca="false">-(I39-H39)</f>
        <v>-52.6187221609874</v>
      </c>
      <c r="J58" s="38" t="n">
        <f aca="false">-(J39-I39)</f>
        <v>-53.276456188</v>
      </c>
      <c r="K58" s="38" t="n">
        <f aca="false">-(K39-J39)</f>
        <v>-53.4540443752933</v>
      </c>
      <c r="L58" s="38" t="n">
        <f aca="false">-(L39-K39)</f>
        <v>-53.1104112328804</v>
      </c>
      <c r="M58" s="38" t="n">
        <f aca="false">-(M39-L39)</f>
        <v>-52.2116196581706</v>
      </c>
      <c r="N58" s="38" t="n">
        <f aca="false">-(N39-M39)</f>
        <v>-50.7322904345222</v>
      </c>
    </row>
    <row r="59" customFormat="false" ht="15" hidden="false" customHeight="false" outlineLevel="0" collapsed="false">
      <c r="A59" s="4" t="s">
        <v>312</v>
      </c>
      <c r="E59" s="38" t="n">
        <f aca="false">-(E40-D40)</f>
        <v>-89.4611402024001</v>
      </c>
      <c r="F59" s="38" t="n">
        <f aca="false">-(F40-E40)</f>
        <v>-95.859102618216</v>
      </c>
      <c r="G59" s="38" t="n">
        <f aca="false">-(G40-F40)</f>
        <v>-98.6816206397523</v>
      </c>
      <c r="H59" s="38" t="n">
        <f aca="false">-(H40-G40)</f>
        <v>-100.77134907683</v>
      </c>
      <c r="I59" s="38" t="n">
        <f aca="false">-(I40-H40)</f>
        <v>-108.833057002976</v>
      </c>
      <c r="J59" s="38" t="n">
        <f aca="false">-(J40-I40)</f>
        <v>-110.193470215513</v>
      </c>
      <c r="K59" s="38" t="n">
        <f aca="false">-(K40-J40)</f>
        <v>-110.560781782898</v>
      </c>
      <c r="L59" s="38" t="n">
        <f aca="false">-(L40-K40)</f>
        <v>-109.850033900008</v>
      </c>
      <c r="M59" s="38" t="n">
        <f aca="false">-(M40-L40)</f>
        <v>-107.991033326316</v>
      </c>
      <c r="N59" s="38" t="n">
        <f aca="false">-(N40-M40)</f>
        <v>-104.93128738207</v>
      </c>
    </row>
    <row r="60" customFormat="false" ht="15" hidden="false" customHeight="false" outlineLevel="0" collapsed="false">
      <c r="A60" s="4" t="s">
        <v>313</v>
      </c>
      <c r="E60" s="38" t="n">
        <f aca="false">E43-D43</f>
        <v>148.905597566586</v>
      </c>
      <c r="F60" s="38" t="n">
        <f aca="false">F43-E43</f>
        <v>178.369620616629</v>
      </c>
      <c r="G60" s="38" t="n">
        <f aca="false">G43-F43</f>
        <v>185.916228678905</v>
      </c>
      <c r="H60" s="38" t="n">
        <f aca="false">H43-G43</f>
        <v>192.76811574897</v>
      </c>
      <c r="I60" s="38" t="n">
        <f aca="false">I43-H43</f>
        <v>208.189565008887</v>
      </c>
      <c r="J60" s="38" t="n">
        <f aca="false">J43-I43</f>
        <v>210.791934571498</v>
      </c>
      <c r="K60" s="38" t="n">
        <f aca="false">K43-J43</f>
        <v>211.494574353404</v>
      </c>
      <c r="L60" s="38" t="n">
        <f aca="false">L43-K43</f>
        <v>210.134966375416</v>
      </c>
      <c r="M60" s="38" t="n">
        <f aca="false">M43-L43</f>
        <v>206.578836175218</v>
      </c>
      <c r="N60" s="38" t="n">
        <f aca="false">N43-M43</f>
        <v>200.725769150253</v>
      </c>
    </row>
    <row r="61" customFormat="false" ht="15" hidden="false" customHeight="false" outlineLevel="0" collapsed="false">
      <c r="A61" s="4" t="s">
        <v>314</v>
      </c>
      <c r="E61" s="38" t="n">
        <f aca="false">E44-D44</f>
        <v>121.6491896856</v>
      </c>
      <c r="F61" s="38" t="n">
        <f aca="false">F44-E44</f>
        <v>129.691727071704</v>
      </c>
      <c r="G61" s="38" t="n">
        <f aca="false">G44-F44</f>
        <v>133.510427924371</v>
      </c>
      <c r="H61" s="38" t="n">
        <f aca="false">H44-G44</f>
        <v>136.337707574534</v>
      </c>
      <c r="I61" s="38" t="n">
        <f aca="false">I44-H44</f>
        <v>147.244724180497</v>
      </c>
      <c r="J61" s="38" t="n">
        <f aca="false">J44-I44</f>
        <v>149.085283232753</v>
      </c>
      <c r="K61" s="38" t="n">
        <f aca="false">K44-J44</f>
        <v>149.582234176862</v>
      </c>
      <c r="L61" s="38" t="n">
        <f aca="false">L44-K44</f>
        <v>148.620634100011</v>
      </c>
      <c r="M61" s="38" t="n">
        <f aca="false">M44-L44</f>
        <v>146.10551567678</v>
      </c>
      <c r="N61" s="38" t="n">
        <f aca="false">N44-M44</f>
        <v>141.965859399271</v>
      </c>
    </row>
    <row r="62" customFormat="false" ht="15" hidden="false" customHeight="false" outlineLevel="0" collapsed="false">
      <c r="A62" s="3" t="s">
        <v>315</v>
      </c>
      <c r="B62" s="40" t="n">
        <f aca="false">Historical!B92</f>
        <v>2572.98</v>
      </c>
      <c r="C62" s="40" t="n">
        <f aca="false">Historical!C92</f>
        <v>2490.62</v>
      </c>
      <c r="D62" s="40" t="n">
        <f aca="false">Historical!D92</f>
        <v>2611.6</v>
      </c>
      <c r="E62" s="37" t="n">
        <f aca="false">SUM(E54:E61)</f>
        <v>3170.47400725657</v>
      </c>
      <c r="F62" s="37" t="n">
        <f aca="false">SUM(F54:F61)</f>
        <v>3519.93685782613</v>
      </c>
      <c r="G62" s="37" t="n">
        <f aca="false">SUM(G54:G61)</f>
        <v>3854.95399048993</v>
      </c>
      <c r="H62" s="37" t="n">
        <f aca="false">SUM(H54:H61)</f>
        <v>4180.67643876205</v>
      </c>
      <c r="I62" s="37" t="n">
        <f aca="false">SUM(I54:I61)</f>
        <v>4532.87587542733</v>
      </c>
      <c r="J62" s="37" t="n">
        <f aca="false">SUM(J54:J61)</f>
        <v>4889.23505964532</v>
      </c>
      <c r="K62" s="37" t="n">
        <f aca="false">SUM(K54:K61)</f>
        <v>5248.53150923356</v>
      </c>
      <c r="L62" s="37" t="n">
        <f aca="false">SUM(L54:L61)</f>
        <v>5607.57936890621</v>
      </c>
      <c r="M62" s="37" t="n">
        <f aca="false">SUM(M54:M61)</f>
        <v>5963.00289949082</v>
      </c>
      <c r="N62" s="37" t="n">
        <f aca="false">SUM(N54:N61)</f>
        <v>6311.25682672861</v>
      </c>
    </row>
    <row r="63" customFormat="false" ht="15" hidden="false" customHeight="false" outlineLevel="0" collapsed="false">
      <c r="A63" s="4" t="s">
        <v>316</v>
      </c>
      <c r="B63" s="21" t="n">
        <f aca="false">Historical!B93</f>
        <v>-552.87</v>
      </c>
      <c r="C63" s="21" t="n">
        <f aca="false">Historical!C93</f>
        <v>-374.85</v>
      </c>
      <c r="D63" s="21" t="n">
        <f aca="false">Historical!D93</f>
        <v>-205.57</v>
      </c>
      <c r="E63" s="38" t="n">
        <f aca="false">-E8*Assumptions!E11</f>
        <v>-417.686721648</v>
      </c>
      <c r="F63" s="38" t="n">
        <f aca="false">-F8*Assumptions!F11</f>
        <v>-455.27852659632</v>
      </c>
      <c r="G63" s="38" t="n">
        <f aca="false">-G8*Assumptions!G11</f>
        <v>-493.977201357007</v>
      </c>
      <c r="H63" s="38" t="n">
        <f aca="false">-H8*Assumptions!H11</f>
        <v>-533.495377465568</v>
      </c>
      <c r="I63" s="38" t="n">
        <f aca="false">-I8*Assumptions!I11</f>
        <v>-576.175007662813</v>
      </c>
      <c r="J63" s="38" t="n">
        <f aca="false">-J8*Assumptions!J11</f>
        <v>-619.388133237524</v>
      </c>
      <c r="K63" s="38" t="n">
        <f aca="false">-K8*Assumptions!K11</f>
        <v>-662.745302564151</v>
      </c>
      <c r="L63" s="38" t="n">
        <f aca="false">-L8*Assumptions!L11</f>
        <v>-705.823747230821</v>
      </c>
      <c r="M63" s="38" t="n">
        <f aca="false">-M8*Assumptions!M11</f>
        <v>-748.17317206467</v>
      </c>
      <c r="N63" s="38" t="n">
        <f aca="false">-N8*Assumptions!N11</f>
        <v>-789.322696528227</v>
      </c>
    </row>
    <row r="64" customFormat="false" ht="15" hidden="false" customHeight="false" outlineLevel="0" collapsed="false">
      <c r="A64" s="4" t="s">
        <v>317</v>
      </c>
      <c r="E64" s="38" t="n">
        <f aca="false">-Assumptions!E22</f>
        <v>-0</v>
      </c>
      <c r="F64" s="38" t="n">
        <f aca="false">-Assumptions!F22</f>
        <v>-0</v>
      </c>
      <c r="G64" s="38" t="n">
        <f aca="false">-Assumptions!G22</f>
        <v>-0</v>
      </c>
      <c r="H64" s="38" t="n">
        <f aca="false">-Assumptions!H22</f>
        <v>-0</v>
      </c>
      <c r="I64" s="38" t="n">
        <f aca="false">-Assumptions!I22</f>
        <v>-0</v>
      </c>
      <c r="J64" s="38" t="n">
        <f aca="false">-Assumptions!J22</f>
        <v>-0</v>
      </c>
      <c r="K64" s="38" t="n">
        <f aca="false">-Assumptions!K22</f>
        <v>-0</v>
      </c>
      <c r="L64" s="38" t="n">
        <f aca="false">-Assumptions!L22</f>
        <v>-0</v>
      </c>
      <c r="M64" s="38" t="n">
        <f aca="false">-Assumptions!M22</f>
        <v>-0</v>
      </c>
      <c r="N64" s="38" t="n">
        <f aca="false">-Assumptions!N22</f>
        <v>-0</v>
      </c>
    </row>
    <row r="65" customFormat="false" ht="15" hidden="false" customHeight="false" outlineLevel="0" collapsed="false">
      <c r="A65" s="3" t="s">
        <v>318</v>
      </c>
      <c r="B65" s="40" t="n">
        <f aca="false">Historical!B102</f>
        <v>484.15</v>
      </c>
      <c r="C65" s="40" t="n">
        <f aca="false">Historical!C102</f>
        <v>66.43</v>
      </c>
      <c r="D65" s="40" t="n">
        <f aca="false">Historical!D102</f>
        <v>-757.27</v>
      </c>
      <c r="E65" s="37" t="n">
        <f aca="false">E63+E64</f>
        <v>-417.686721648</v>
      </c>
      <c r="F65" s="37" t="n">
        <f aca="false">F63+F64</f>
        <v>-455.27852659632</v>
      </c>
      <c r="G65" s="37" t="n">
        <f aca="false">G63+G64</f>
        <v>-493.977201357007</v>
      </c>
      <c r="H65" s="37" t="n">
        <f aca="false">H63+H64</f>
        <v>-533.495377465568</v>
      </c>
      <c r="I65" s="37" t="n">
        <f aca="false">I63+I64</f>
        <v>-576.175007662813</v>
      </c>
      <c r="J65" s="37" t="n">
        <f aca="false">J63+J64</f>
        <v>-619.388133237524</v>
      </c>
      <c r="K65" s="37" t="n">
        <f aca="false">K63+K64</f>
        <v>-662.745302564151</v>
      </c>
      <c r="L65" s="37" t="n">
        <f aca="false">L63+L64</f>
        <v>-705.823747230821</v>
      </c>
      <c r="M65" s="37" t="n">
        <f aca="false">M63+M64</f>
        <v>-748.17317206467</v>
      </c>
      <c r="N65" s="37" t="n">
        <f aca="false">N63+N64</f>
        <v>-789.322696528227</v>
      </c>
    </row>
    <row r="66" customFormat="false" ht="15" hidden="false" customHeight="false" outlineLevel="0" collapsed="false">
      <c r="A66" s="4" t="s">
        <v>319</v>
      </c>
      <c r="E66" s="38" t="n">
        <f aca="false">Assumptions!E23</f>
        <v>0</v>
      </c>
      <c r="F66" s="38" t="n">
        <f aca="false">Assumptions!F23</f>
        <v>0</v>
      </c>
      <c r="G66" s="38" t="n">
        <f aca="false">Assumptions!G23</f>
        <v>0</v>
      </c>
      <c r="H66" s="38" t="n">
        <f aca="false">Assumptions!H23</f>
        <v>0</v>
      </c>
      <c r="I66" s="38" t="n">
        <f aca="false">Assumptions!I23</f>
        <v>0</v>
      </c>
      <c r="J66" s="38" t="n">
        <f aca="false">Assumptions!J23</f>
        <v>0</v>
      </c>
      <c r="K66" s="38" t="n">
        <f aca="false">Assumptions!K23</f>
        <v>0</v>
      </c>
      <c r="L66" s="38" t="n">
        <f aca="false">Assumptions!L23</f>
        <v>0</v>
      </c>
      <c r="M66" s="38" t="n">
        <f aca="false">Assumptions!M23</f>
        <v>0</v>
      </c>
      <c r="N66" s="38" t="n">
        <f aca="false">Assumptions!N23</f>
        <v>0</v>
      </c>
    </row>
    <row r="67" customFormat="false" ht="15" hidden="false" customHeight="false" outlineLevel="0" collapsed="false">
      <c r="A67" s="4" t="s">
        <v>249</v>
      </c>
      <c r="B67" s="21" t="n">
        <f aca="false">Historical!B111</f>
        <v>-1732.47</v>
      </c>
      <c r="C67" s="21" t="n">
        <f aca="false">Historical!C111</f>
        <v>-1767.54</v>
      </c>
      <c r="D67" s="21" t="n">
        <f aca="false">Historical!D111</f>
        <v>-1803.95</v>
      </c>
      <c r="E67" s="38" t="n">
        <f aca="false">-Assumptions!E24*D24</f>
        <v>-2156.4585</v>
      </c>
      <c r="F67" s="38" t="n">
        <f aca="false">-Assumptions!F24*E24</f>
        <v>-2391.4123239293</v>
      </c>
      <c r="G67" s="38" t="n">
        <f aca="false">-Assumptions!G24*F24</f>
        <v>-2665.63014552876</v>
      </c>
      <c r="H67" s="38" t="n">
        <f aca="false">-Assumptions!H24*G24</f>
        <v>-2937.45745995704</v>
      </c>
      <c r="I67" s="38" t="n">
        <f aca="false">-Assumptions!I24*H24</f>
        <v>-3199.29722820055</v>
      </c>
      <c r="J67" s="38" t="n">
        <f aca="false">-Assumptions!J24*I24</f>
        <v>-3479.49478449762</v>
      </c>
      <c r="K67" s="38" t="n">
        <f aca="false">-Assumptions!K24*J24</f>
        <v>-3763.42922367478</v>
      </c>
      <c r="L67" s="38" t="n">
        <f aca="false">-Assumptions!L24*K24</f>
        <v>-4048.20882830405</v>
      </c>
      <c r="M67" s="38" t="n">
        <f aca="false">-Assumptions!M24*L24</f>
        <v>-4331.36338050217</v>
      </c>
      <c r="N67" s="38" t="n">
        <f aca="false">-Assumptions!N24*M24</f>
        <v>-4610.27269529469</v>
      </c>
      <c r="O67" s="2" t="s">
        <v>320</v>
      </c>
    </row>
    <row r="68" customFormat="false" ht="15" hidden="false" customHeight="false" outlineLevel="0" collapsed="false">
      <c r="A68" s="3" t="s">
        <v>321</v>
      </c>
      <c r="B68" s="40" t="n">
        <f aca="false">Historical!B112</f>
        <v>-2839.13</v>
      </c>
      <c r="C68" s="40" t="n">
        <f aca="false">Historical!C112</f>
        <v>-2753.9</v>
      </c>
      <c r="D68" s="40" t="n">
        <f aca="false">Historical!D112</f>
        <v>-1782.62</v>
      </c>
      <c r="E68" s="37" t="n">
        <f aca="false">E66+E67</f>
        <v>-2156.4585</v>
      </c>
      <c r="F68" s="37" t="n">
        <f aca="false">F66+F67</f>
        <v>-2391.4123239293</v>
      </c>
      <c r="G68" s="37" t="n">
        <f aca="false">G66+G67</f>
        <v>-2665.63014552876</v>
      </c>
      <c r="H68" s="37" t="n">
        <f aca="false">H66+H67</f>
        <v>-2937.45745995704</v>
      </c>
      <c r="I68" s="37" t="n">
        <f aca="false">I66+I67</f>
        <v>-3199.29722820055</v>
      </c>
      <c r="J68" s="37" t="n">
        <f aca="false">J66+J67</f>
        <v>-3479.49478449762</v>
      </c>
      <c r="K68" s="37" t="n">
        <f aca="false">K66+K67</f>
        <v>-3763.42922367478</v>
      </c>
      <c r="L68" s="37" t="n">
        <f aca="false">L66+L67</f>
        <v>-4048.20882830405</v>
      </c>
      <c r="M68" s="37" t="n">
        <f aca="false">M66+M67</f>
        <v>-4331.36338050217</v>
      </c>
      <c r="N68" s="37" t="n">
        <f aca="false">N66+N67</f>
        <v>-4610.27269529469</v>
      </c>
    </row>
    <row r="69" customFormat="false" ht="15" hidden="false" customHeight="false" outlineLevel="0" collapsed="false">
      <c r="A69" s="4" t="s">
        <v>251</v>
      </c>
      <c r="B69" s="21" t="n">
        <f aca="false">Historical!B113</f>
        <v>218</v>
      </c>
      <c r="C69" s="21" t="n">
        <f aca="false">Historical!C113</f>
        <v>-196.85</v>
      </c>
      <c r="D69" s="21" t="n">
        <f aca="false">Historical!D113</f>
        <v>71.7100000000003</v>
      </c>
      <c r="E69" s="38" t="n">
        <f aca="false">E62+E65+E68</f>
        <v>596.328785608568</v>
      </c>
      <c r="F69" s="38" t="n">
        <f aca="false">F62+F65+F68</f>
        <v>673.246007300508</v>
      </c>
      <c r="G69" s="38" t="n">
        <f aca="false">G62+G65+G68</f>
        <v>695.346643604162</v>
      </c>
      <c r="H69" s="38" t="n">
        <f aca="false">H62+H65+H68</f>
        <v>709.723601339437</v>
      </c>
      <c r="I69" s="38" t="n">
        <f aca="false">I62+I65+I68</f>
        <v>757.403639563967</v>
      </c>
      <c r="J69" s="38" t="n">
        <f aca="false">J62+J65+J68</f>
        <v>790.35214191018</v>
      </c>
      <c r="K69" s="38" t="n">
        <f aca="false">K62+K65+K68</f>
        <v>822.356982994624</v>
      </c>
      <c r="L69" s="38" t="n">
        <f aca="false">L62+L65+L68</f>
        <v>853.546793371337</v>
      </c>
      <c r="M69" s="38" t="n">
        <f aca="false">M62+M65+M68</f>
        <v>883.466346923988</v>
      </c>
      <c r="N69" s="38" t="n">
        <f aca="false">N62+N65+N68</f>
        <v>911.661434905694</v>
      </c>
    </row>
    <row r="70" customFormat="false" ht="15" hidden="false" customHeight="false" outlineLevel="0" collapsed="false">
      <c r="A70" s="4" t="s">
        <v>322</v>
      </c>
      <c r="B70" s="21" t="n">
        <f aca="false">Historical!B115</f>
        <v>100.16</v>
      </c>
      <c r="C70" s="21" t="n">
        <f aca="false">Historical!C115</f>
        <v>319.45</v>
      </c>
      <c r="D70" s="21" t="n">
        <f aca="false">Historical!D115</f>
        <v>125.24</v>
      </c>
      <c r="E70" s="38" t="n">
        <f aca="false">D36</f>
        <v>220</v>
      </c>
      <c r="F70" s="38" t="n">
        <f aca="false">E36</f>
        <v>816.328785608568</v>
      </c>
      <c r="G70" s="38" t="n">
        <f aca="false">F36</f>
        <v>1489.57479290908</v>
      </c>
      <c r="H70" s="38" t="n">
        <f aca="false">G36</f>
        <v>2184.92143651324</v>
      </c>
      <c r="I70" s="38" t="n">
        <f aca="false">H36</f>
        <v>2894.64503785268</v>
      </c>
      <c r="J70" s="38" t="n">
        <f aca="false">I36</f>
        <v>3652.04867741664</v>
      </c>
      <c r="K70" s="38" t="n">
        <f aca="false">J36</f>
        <v>4442.40081932682</v>
      </c>
      <c r="L70" s="38" t="n">
        <f aca="false">K36</f>
        <v>5264.75780232145</v>
      </c>
      <c r="M70" s="38" t="n">
        <f aca="false">L36</f>
        <v>6118.30459569278</v>
      </c>
      <c r="N70" s="38" t="n">
        <f aca="false">M36</f>
        <v>7001.77094261677</v>
      </c>
    </row>
    <row r="71" customFormat="false" ht="15" hidden="false" customHeight="false" outlineLevel="0" collapsed="false">
      <c r="A71" s="3" t="s">
        <v>323</v>
      </c>
      <c r="B71" s="40" t="n">
        <f aca="false">Historical!B116</f>
        <v>319.45</v>
      </c>
      <c r="C71" s="40" t="n">
        <f aca="false">Historical!C116</f>
        <v>125.24</v>
      </c>
      <c r="D71" s="40" t="n">
        <f aca="false">Historical!D116</f>
        <v>212.84</v>
      </c>
      <c r="E71" s="37" t="n">
        <f aca="false">E70+E69</f>
        <v>816.328785608568</v>
      </c>
      <c r="F71" s="37" t="n">
        <f aca="false">F70+F69</f>
        <v>1489.57479290908</v>
      </c>
      <c r="G71" s="37" t="n">
        <f aca="false">G70+G69</f>
        <v>2184.92143651324</v>
      </c>
      <c r="H71" s="37" t="n">
        <f aca="false">H70+H69</f>
        <v>2894.64503785268</v>
      </c>
      <c r="I71" s="37" t="n">
        <f aca="false">I70+I69</f>
        <v>3652.04867741664</v>
      </c>
      <c r="J71" s="37" t="n">
        <f aca="false">J70+J69</f>
        <v>4442.40081932682</v>
      </c>
      <c r="K71" s="37" t="n">
        <f aca="false">K70+K69</f>
        <v>5264.75780232145</v>
      </c>
      <c r="L71" s="37" t="n">
        <f aca="false">L70+L69</f>
        <v>6118.30459569278</v>
      </c>
      <c r="M71" s="37" t="n">
        <f aca="false">M70+M69</f>
        <v>7001.77094261677</v>
      </c>
      <c r="N71" s="37" t="n">
        <f aca="false">N70+N69</f>
        <v>7913.43237752247</v>
      </c>
      <c r="O71" s="2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4" min="2" style="0" width="12"/>
    <col collapsed="false" customWidth="true" hidden="false" outlineLevel="0" max="15" min="15" style="0" width="100"/>
  </cols>
  <sheetData>
    <row r="1" customFormat="false" ht="17.35" hidden="false" customHeight="false" outlineLevel="0" collapsed="false">
      <c r="A1" s="1" t="s">
        <v>325</v>
      </c>
    </row>
    <row r="2" customFormat="false" ht="15" hidden="false" customHeight="false" outlineLevel="0" collapsed="false">
      <c r="A2" s="2" t="s">
        <v>326</v>
      </c>
    </row>
    <row r="4" customFormat="false" ht="15" hidden="false" customHeight="false" outlineLevel="0" collapsed="false">
      <c r="A4" s="25" t="s">
        <v>327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customFormat="false" ht="15" hidden="false" customHeight="false" outlineLevel="0" collapsed="false">
      <c r="A5" s="3" t="s">
        <v>328</v>
      </c>
      <c r="B5" s="41" t="str">
        <f aca="false">Assumptions!C27</f>
        <v>Base</v>
      </c>
    </row>
    <row r="6" customFormat="false" ht="15" hidden="false" customHeight="false" outlineLevel="0" collapsed="false">
      <c r="A6" s="4" t="s">
        <v>329</v>
      </c>
      <c r="B6" s="42" t="n">
        <f aca="false">Assumptions!$B$40</f>
        <v>0.071</v>
      </c>
    </row>
    <row r="7" customFormat="false" ht="15" hidden="false" customHeight="false" outlineLevel="0" collapsed="false">
      <c r="A7" s="4" t="s">
        <v>123</v>
      </c>
      <c r="B7" s="43" t="n">
        <f aca="false">Assumptions!$B$41</f>
        <v>0.6</v>
      </c>
    </row>
    <row r="8" customFormat="false" ht="15" hidden="false" customHeight="false" outlineLevel="0" collapsed="false">
      <c r="A8" s="4" t="s">
        <v>125</v>
      </c>
      <c r="B8" s="42" t="n">
        <f aca="false">Assumptions!$B$42</f>
        <v>0.055</v>
      </c>
    </row>
    <row r="9" customFormat="false" ht="15" hidden="false" customHeight="false" outlineLevel="0" collapsed="false">
      <c r="A9" s="4" t="s">
        <v>330</v>
      </c>
      <c r="B9" s="44" t="n">
        <f aca="false">B6+B7*B8</f>
        <v>0.104</v>
      </c>
    </row>
    <row r="10" customFormat="false" ht="15" hidden="false" customHeight="false" outlineLevel="0" collapsed="false">
      <c r="A10" s="4" t="s">
        <v>127</v>
      </c>
      <c r="B10" s="42" t="n">
        <f aca="false">Assumptions!$B$43</f>
        <v>0.08</v>
      </c>
    </row>
    <row r="11" customFormat="false" ht="15" hidden="false" customHeight="false" outlineLevel="0" collapsed="false">
      <c r="A11" s="4" t="s">
        <v>331</v>
      </c>
      <c r="B11" s="42" t="n">
        <f aca="false">Assumptions!E15</f>
        <v>0.252</v>
      </c>
    </row>
    <row r="12" customFormat="false" ht="15" hidden="false" customHeight="false" outlineLevel="0" collapsed="false">
      <c r="A12" s="4" t="s">
        <v>332</v>
      </c>
      <c r="B12" s="44" t="n">
        <f aca="false">B10*(1-B11)</f>
        <v>0.05984</v>
      </c>
    </row>
    <row r="13" customFormat="false" ht="15" hidden="false" customHeight="false" outlineLevel="0" collapsed="false">
      <c r="A13" s="4" t="s">
        <v>333</v>
      </c>
      <c r="B13" s="38" t="n">
        <f aca="false">Assumptions!$B$37*Assumptions!$B$39</f>
        <v>114764.76</v>
      </c>
      <c r="C13" s="2" t="s">
        <v>334</v>
      </c>
    </row>
    <row r="14" customFormat="false" ht="15" hidden="false" customHeight="false" outlineLevel="0" collapsed="false">
      <c r="A14" s="4" t="s">
        <v>335</v>
      </c>
      <c r="B14" s="21" t="n">
        <f aca="false">Model!D45</f>
        <v>1380.28</v>
      </c>
    </row>
    <row r="15" customFormat="false" ht="15" hidden="false" customHeight="false" outlineLevel="0" collapsed="false">
      <c r="A15" s="4" t="s">
        <v>336</v>
      </c>
      <c r="B15" s="28" t="n">
        <f aca="false">B13/(B13+B14)</f>
        <v>0.988115893713584</v>
      </c>
    </row>
    <row r="16" customFormat="false" ht="15" hidden="false" customHeight="false" outlineLevel="0" collapsed="false">
      <c r="A16" s="4" t="s">
        <v>337</v>
      </c>
      <c r="B16" s="28" t="n">
        <f aca="false">1-B15</f>
        <v>0.0118841062864157</v>
      </c>
    </row>
    <row r="17" customFormat="false" ht="15" hidden="false" customHeight="false" outlineLevel="0" collapsed="false">
      <c r="A17" s="3" t="s">
        <v>7</v>
      </c>
      <c r="B17" s="45" t="n">
        <f aca="false">B15*B9+B16*B12</f>
        <v>0.103475197866392</v>
      </c>
    </row>
    <row r="18" customFormat="false" ht="15" hidden="false" customHeight="false" outlineLevel="0" collapsed="false">
      <c r="A18" s="4" t="s">
        <v>129</v>
      </c>
      <c r="B18" s="42" t="n">
        <f aca="false">Assumptions!$B$44</f>
        <v>0.055</v>
      </c>
    </row>
    <row r="19" customFormat="false" ht="15" hidden="false" customHeight="false" outlineLevel="0" collapsed="false">
      <c r="A19" s="4" t="s">
        <v>338</v>
      </c>
      <c r="B19" s="46" t="n">
        <f aca="false">Assumptions!$B$45</f>
        <v>1</v>
      </c>
    </row>
    <row r="20" customFormat="false" ht="15" hidden="false" customHeight="false" outlineLevel="0" collapsed="false">
      <c r="A20" s="4" t="s">
        <v>339</v>
      </c>
      <c r="B20" s="47" t="n">
        <f aca="false">MAX(0,MIN(1,(Assumptions!B36-Assumptions!B35)/365))</f>
        <v>0.446575342465753</v>
      </c>
      <c r="C20" s="2" t="s">
        <v>340</v>
      </c>
    </row>
    <row r="22" customFormat="false" ht="15" hidden="false" customHeight="false" outlineLevel="0" collapsed="false">
      <c r="A22" s="25" t="s">
        <v>341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customFormat="false" ht="15" hidden="false" customHeight="false" outlineLevel="0" collapsed="false">
      <c r="A23" s="16" t="s">
        <v>140</v>
      </c>
      <c r="B23" s="17" t="s">
        <v>48</v>
      </c>
      <c r="C23" s="17" t="s">
        <v>49</v>
      </c>
      <c r="D23" s="17" t="s">
        <v>50</v>
      </c>
      <c r="E23" s="17" t="s">
        <v>51</v>
      </c>
      <c r="F23" s="17" t="s">
        <v>52</v>
      </c>
      <c r="G23" s="17" t="s">
        <v>53</v>
      </c>
      <c r="H23" s="17" t="s">
        <v>54</v>
      </c>
      <c r="I23" s="17" t="s">
        <v>55</v>
      </c>
      <c r="J23" s="17" t="s">
        <v>56</v>
      </c>
      <c r="K23" s="17" t="s">
        <v>57</v>
      </c>
      <c r="L23" s="17" t="s">
        <v>58</v>
      </c>
      <c r="M23" s="17" t="s">
        <v>59</v>
      </c>
      <c r="N23" s="17" t="s">
        <v>60</v>
      </c>
      <c r="O23" s="17" t="s">
        <v>274</v>
      </c>
    </row>
    <row r="24" customFormat="false" ht="15" hidden="false" customHeight="false" outlineLevel="0" collapsed="false">
      <c r="A24" s="4" t="s">
        <v>279</v>
      </c>
      <c r="C24" s="21" t="n">
        <f aca="false">Model!C14</f>
        <v>3187.15</v>
      </c>
      <c r="D24" s="21" t="n">
        <f aca="false">Model!D14</f>
        <v>3544.43</v>
      </c>
      <c r="E24" s="21" t="n">
        <f aca="false">Model!E14</f>
        <v>3952.5661580832</v>
      </c>
      <c r="F24" s="21" t="n">
        <f aca="false">Model!F14</f>
        <v>4353.10799091269</v>
      </c>
      <c r="G24" s="21" t="n">
        <f aca="false">Model!G14</f>
        <v>4747.43207178185</v>
      </c>
      <c r="H24" s="21" t="n">
        <f aca="false">Model!H14</f>
        <v>5127.2266375244</v>
      </c>
      <c r="I24" s="21" t="n">
        <f aca="false">Model!I14</f>
        <v>5537.40476852635</v>
      </c>
      <c r="J24" s="21" t="n">
        <f aca="false">Model!J14</f>
        <v>5952.71012616583</v>
      </c>
      <c r="K24" s="21" t="n">
        <f aca="false">Model!K14</f>
        <v>6369.39983499744</v>
      </c>
      <c r="L24" s="21" t="n">
        <f aca="false">Model!L14</f>
        <v>6783.41082427227</v>
      </c>
      <c r="M24" s="21" t="n">
        <f aca="false">Model!M14</f>
        <v>7190.41547372861</v>
      </c>
      <c r="N24" s="21" t="n">
        <f aca="false">Model!N14</f>
        <v>7585.88832478368</v>
      </c>
    </row>
    <row r="25" customFormat="false" ht="15" hidden="false" customHeight="false" outlineLevel="0" collapsed="false">
      <c r="A25" s="4" t="s">
        <v>342</v>
      </c>
      <c r="C25" s="21" t="n">
        <f aca="false">-Model!C16</f>
        <v>-313.34</v>
      </c>
      <c r="D25" s="21" t="n">
        <f aca="false">-Model!D16</f>
        <v>-336.83</v>
      </c>
      <c r="E25" s="21" t="n">
        <f aca="false">-Model!E16</f>
        <v>-317.7856</v>
      </c>
      <c r="F25" s="21" t="n">
        <f aca="false">-Model!F16</f>
        <v>-328.77472338128</v>
      </c>
      <c r="G25" s="21" t="n">
        <f aca="false">-Model!G16</f>
        <v>-342.690141734934</v>
      </c>
      <c r="H25" s="21" t="n">
        <f aca="false">-Model!H16</f>
        <v>-359.331718293362</v>
      </c>
      <c r="I25" s="21" t="n">
        <f aca="false">-Model!I16</f>
        <v>-378.489720802305</v>
      </c>
      <c r="J25" s="21" t="n">
        <f aca="false">-Model!J16</f>
        <v>-400.235102356961</v>
      </c>
      <c r="K25" s="21" t="n">
        <f aca="false">-Model!K16</f>
        <v>-424.341935753823</v>
      </c>
      <c r="L25" s="21" t="n">
        <f aca="false">-Model!L16</f>
        <v>-450.566306102959</v>
      </c>
      <c r="M25" s="21" t="n">
        <f aca="false">-Model!M16</f>
        <v>-478.644624627024</v>
      </c>
      <c r="N25" s="21" t="n">
        <f aca="false">-Model!N16</f>
        <v>-508.292764845165</v>
      </c>
    </row>
    <row r="26" customFormat="false" ht="15" hidden="false" customHeight="false" outlineLevel="0" collapsed="false">
      <c r="A26" s="3" t="s">
        <v>281</v>
      </c>
      <c r="C26" s="37" t="n">
        <f aca="false">C24+C25</f>
        <v>2873.81</v>
      </c>
      <c r="D26" s="37" t="n">
        <f aca="false">D24+D25</f>
        <v>3207.6</v>
      </c>
      <c r="E26" s="37" t="n">
        <f aca="false">E24+E25</f>
        <v>3634.7805580832</v>
      </c>
      <c r="F26" s="37" t="n">
        <f aca="false">F24+F25</f>
        <v>4024.33326753141</v>
      </c>
      <c r="G26" s="37" t="n">
        <f aca="false">G24+G25</f>
        <v>4404.74193004692</v>
      </c>
      <c r="H26" s="37" t="n">
        <f aca="false">H24+H25</f>
        <v>4767.89491923104</v>
      </c>
      <c r="I26" s="37" t="n">
        <f aca="false">I24+I25</f>
        <v>5158.91504772405</v>
      </c>
      <c r="J26" s="37" t="n">
        <f aca="false">J24+J25</f>
        <v>5552.47502380887</v>
      </c>
      <c r="K26" s="37" t="n">
        <f aca="false">K24+K25</f>
        <v>5945.05789924361</v>
      </c>
      <c r="L26" s="37" t="n">
        <f aca="false">L24+L25</f>
        <v>6332.84451816931</v>
      </c>
      <c r="M26" s="37" t="n">
        <f aca="false">M24+M25</f>
        <v>6711.77084910159</v>
      </c>
      <c r="N26" s="37" t="n">
        <f aca="false">N24+N25</f>
        <v>7077.59555993852</v>
      </c>
    </row>
    <row r="27" customFormat="false" ht="15" hidden="false" customHeight="false" outlineLevel="0" collapsed="false">
      <c r="A27" s="4" t="s">
        <v>343</v>
      </c>
      <c r="C27" s="38" t="n">
        <f aca="false">-C26*$B$11</f>
        <v>-724.20012</v>
      </c>
      <c r="D27" s="38" t="n">
        <f aca="false">-D26*$B$11</f>
        <v>-808.3152</v>
      </c>
      <c r="E27" s="38" t="n">
        <f aca="false">-E26*$B$11</f>
        <v>-915.964700636967</v>
      </c>
      <c r="F27" s="38" t="n">
        <f aca="false">-F26*$B$11</f>
        <v>-1014.13198341791</v>
      </c>
      <c r="G27" s="38" t="n">
        <f aca="false">-G26*$B$11</f>
        <v>-1109.99496637182</v>
      </c>
      <c r="H27" s="38" t="n">
        <f aca="false">-H26*$B$11</f>
        <v>-1201.50951964622</v>
      </c>
      <c r="I27" s="38" t="n">
        <f aca="false">-I26*$B$11</f>
        <v>-1300.04659202646</v>
      </c>
      <c r="J27" s="38" t="n">
        <f aca="false">-J26*$B$11</f>
        <v>-1399.22370599984</v>
      </c>
      <c r="K27" s="38" t="n">
        <f aca="false">-K26*$B$11</f>
        <v>-1498.15459060939</v>
      </c>
      <c r="L27" s="38" t="n">
        <f aca="false">-L26*$B$11</f>
        <v>-1595.87681857867</v>
      </c>
      <c r="M27" s="38" t="n">
        <f aca="false">-M26*$B$11</f>
        <v>-1691.3662539736</v>
      </c>
      <c r="N27" s="38" t="n">
        <f aca="false">-N26*$B$11</f>
        <v>-1783.55408110451</v>
      </c>
      <c r="O27" s="2" t="s">
        <v>344</v>
      </c>
    </row>
    <row r="28" customFormat="false" ht="15" hidden="false" customHeight="false" outlineLevel="0" collapsed="false">
      <c r="A28" s="3" t="s">
        <v>345</v>
      </c>
      <c r="C28" s="37" t="n">
        <f aca="false">C26+C27</f>
        <v>2149.60988</v>
      </c>
      <c r="D28" s="37" t="n">
        <f aca="false">D26+D27</f>
        <v>2399.2848</v>
      </c>
      <c r="E28" s="37" t="n">
        <f aca="false">E26+E27</f>
        <v>2718.81585744623</v>
      </c>
      <c r="F28" s="37" t="n">
        <f aca="false">F26+F27</f>
        <v>3010.20128411349</v>
      </c>
      <c r="G28" s="37" t="n">
        <f aca="false">G26+G27</f>
        <v>3294.74696367509</v>
      </c>
      <c r="H28" s="37" t="n">
        <f aca="false">H26+H27</f>
        <v>3566.38539958482</v>
      </c>
      <c r="I28" s="37" t="n">
        <f aca="false">I26+I27</f>
        <v>3858.86845569759</v>
      </c>
      <c r="J28" s="37" t="n">
        <f aca="false">J26+J27</f>
        <v>4153.25131780904</v>
      </c>
      <c r="K28" s="37" t="n">
        <f aca="false">K26+K27</f>
        <v>4446.90330863422</v>
      </c>
      <c r="L28" s="37" t="n">
        <f aca="false">L26+L27</f>
        <v>4736.96769959065</v>
      </c>
      <c r="M28" s="37" t="n">
        <f aca="false">M26+M27</f>
        <v>5020.40459512799</v>
      </c>
      <c r="N28" s="37" t="n">
        <f aca="false">N26+N27</f>
        <v>5294.04147883401</v>
      </c>
    </row>
    <row r="29" customFormat="false" ht="15" hidden="false" customHeight="false" outlineLevel="0" collapsed="false">
      <c r="A29" s="4" t="s">
        <v>346</v>
      </c>
      <c r="C29" s="38" t="n">
        <f aca="false">-C25</f>
        <v>313.34</v>
      </c>
      <c r="D29" s="38" t="n">
        <f aca="false">-D25</f>
        <v>336.83</v>
      </c>
      <c r="E29" s="38" t="n">
        <f aca="false">-E25</f>
        <v>317.7856</v>
      </c>
      <c r="F29" s="38" t="n">
        <f aca="false">-F25</f>
        <v>328.77472338128</v>
      </c>
      <c r="G29" s="38" t="n">
        <f aca="false">-G25</f>
        <v>342.690141734934</v>
      </c>
      <c r="H29" s="38" t="n">
        <f aca="false">-H25</f>
        <v>359.331718293362</v>
      </c>
      <c r="I29" s="38" t="n">
        <f aca="false">-I25</f>
        <v>378.489720802305</v>
      </c>
      <c r="J29" s="38" t="n">
        <f aca="false">-J25</f>
        <v>400.235102356961</v>
      </c>
      <c r="K29" s="38" t="n">
        <f aca="false">-K25</f>
        <v>424.341935753823</v>
      </c>
      <c r="L29" s="38" t="n">
        <f aca="false">-L25</f>
        <v>450.566306102959</v>
      </c>
      <c r="M29" s="38" t="n">
        <f aca="false">-M25</f>
        <v>478.644624627024</v>
      </c>
      <c r="N29" s="38" t="n">
        <f aca="false">-N25</f>
        <v>508.292764845165</v>
      </c>
    </row>
    <row r="30" customFormat="false" ht="15" hidden="false" customHeight="false" outlineLevel="0" collapsed="false">
      <c r="A30" s="4" t="s">
        <v>347</v>
      </c>
      <c r="C30" s="21" t="n">
        <f aca="false">Model!C63</f>
        <v>-374.85</v>
      </c>
      <c r="D30" s="21" t="n">
        <f aca="false">Model!D63</f>
        <v>-205.57</v>
      </c>
      <c r="E30" s="21" t="n">
        <f aca="false">Model!E63</f>
        <v>-417.686721648</v>
      </c>
      <c r="F30" s="21" t="n">
        <f aca="false">Model!F63</f>
        <v>-455.27852659632</v>
      </c>
      <c r="G30" s="21" t="n">
        <f aca="false">Model!G63</f>
        <v>-493.977201357007</v>
      </c>
      <c r="H30" s="21" t="n">
        <f aca="false">Model!H63</f>
        <v>-533.495377465568</v>
      </c>
      <c r="I30" s="21" t="n">
        <f aca="false">Model!I63</f>
        <v>-576.175007662813</v>
      </c>
      <c r="J30" s="21" t="n">
        <f aca="false">Model!J63</f>
        <v>-619.388133237524</v>
      </c>
      <c r="K30" s="21" t="n">
        <f aca="false">Model!K63</f>
        <v>-662.745302564151</v>
      </c>
      <c r="L30" s="21" t="n">
        <f aca="false">Model!L63</f>
        <v>-705.823747230821</v>
      </c>
      <c r="M30" s="21" t="n">
        <f aca="false">Model!M63</f>
        <v>-748.17317206467</v>
      </c>
      <c r="N30" s="21" t="n">
        <f aca="false">Model!N63</f>
        <v>-789.322696528227</v>
      </c>
    </row>
    <row r="31" customFormat="false" ht="15" hidden="false" customHeight="false" outlineLevel="0" collapsed="false">
      <c r="A31" s="4" t="s">
        <v>348</v>
      </c>
      <c r="C31" s="21" t="n">
        <f aca="false">-(Model!C50-Model!B50)</f>
        <v>17.3099999999997</v>
      </c>
      <c r="D31" s="21" t="n">
        <f aca="false">-(Model!D50-Model!C50)</f>
        <v>-193.08</v>
      </c>
      <c r="E31" s="21" t="n">
        <f aca="false">-(Model!E50-Model!D50)</f>
        <v>24.2621438103342</v>
      </c>
      <c r="F31" s="21" t="n">
        <f aca="false">-(Model!F50-Model!E50)</f>
        <v>40.1266691168896</v>
      </c>
      <c r="G31" s="21" t="n">
        <f aca="false">-(Model!G50-Model!F50)</f>
        <v>41.4315429231858</v>
      </c>
      <c r="H31" s="21" t="n">
        <f aca="false">-(Model!H50-Model!G50)</f>
        <v>42.4656284680332</v>
      </c>
      <c r="I31" s="21" t="n">
        <f aca="false">-(Model!I50-Model!H50)</f>
        <v>45.8628787454757</v>
      </c>
      <c r="J31" s="21" t="n">
        <f aca="false">-(Model!J50-Model!I50)</f>
        <v>46.436164729794</v>
      </c>
      <c r="K31" s="21" t="n">
        <f aca="false">-(Model!K50-Model!J50)</f>
        <v>46.5909519455604</v>
      </c>
      <c r="L31" s="21" t="n">
        <f aca="false">-(Model!L50-Model!K50)</f>
        <v>46.2914386830521</v>
      </c>
      <c r="M31" s="21" t="n">
        <f aca="false">-(Model!M50-Model!L50)</f>
        <v>45.5080451053395</v>
      </c>
      <c r="N31" s="21" t="n">
        <f aca="false">-(Model!N50-Model!M50)</f>
        <v>44.2186504940219</v>
      </c>
      <c r="O31" s="2" t="s">
        <v>349</v>
      </c>
    </row>
    <row r="32" customFormat="false" ht="15" hidden="false" customHeight="false" outlineLevel="0" collapsed="false">
      <c r="A32" s="3" t="s">
        <v>350</v>
      </c>
      <c r="C32" s="37" t="n">
        <f aca="false">C28+C29+C30+C31</f>
        <v>2105.40988</v>
      </c>
      <c r="D32" s="37" t="n">
        <f aca="false">D28+D29+D30+D31</f>
        <v>2337.4648</v>
      </c>
      <c r="E32" s="37" t="n">
        <f aca="false">E28+E29+E30+E31</f>
        <v>2643.17687960857</v>
      </c>
      <c r="F32" s="37" t="n">
        <f aca="false">F28+F29+F30+F31</f>
        <v>2923.82415001534</v>
      </c>
      <c r="G32" s="37" t="n">
        <f aca="false">G28+G29+G30+G31</f>
        <v>3184.89144697621</v>
      </c>
      <c r="H32" s="37" t="n">
        <f aca="false">H28+H29+H30+H31</f>
        <v>3434.68736888065</v>
      </c>
      <c r="I32" s="37" t="n">
        <f aca="false">I28+I29+I30+I31</f>
        <v>3707.04604758255</v>
      </c>
      <c r="J32" s="37" t="n">
        <f aca="false">J28+J29+J30+J31</f>
        <v>3980.53445165827</v>
      </c>
      <c r="K32" s="37" t="n">
        <f aca="false">K28+K29+K30+K31</f>
        <v>4255.09089376946</v>
      </c>
      <c r="L32" s="37" t="n">
        <f aca="false">L28+L29+L30+L31</f>
        <v>4528.00169714584</v>
      </c>
      <c r="M32" s="37" t="n">
        <f aca="false">M28+M29+M30+M31</f>
        <v>4796.38409279568</v>
      </c>
      <c r="N32" s="37" t="n">
        <f aca="false">N28+N29+N30+N31</f>
        <v>5057.23019764497</v>
      </c>
    </row>
    <row r="34" customFormat="false" ht="15" hidden="false" customHeight="false" outlineLevel="0" collapsed="false">
      <c r="A34" s="4" t="s">
        <v>351</v>
      </c>
      <c r="E34" s="48" t="n">
        <v>1</v>
      </c>
      <c r="F34" s="48" t="n">
        <v>2</v>
      </c>
      <c r="G34" s="48" t="n">
        <v>3</v>
      </c>
      <c r="H34" s="48" t="n">
        <v>4</v>
      </c>
      <c r="I34" s="48" t="n">
        <v>5</v>
      </c>
      <c r="J34" s="48" t="n">
        <v>6</v>
      </c>
      <c r="K34" s="48" t="n">
        <v>7</v>
      </c>
      <c r="L34" s="48" t="n">
        <v>8</v>
      </c>
      <c r="M34" s="48" t="n">
        <v>9</v>
      </c>
      <c r="N34" s="48" t="n">
        <v>10</v>
      </c>
    </row>
    <row r="35" customFormat="false" ht="15" hidden="false" customHeight="false" outlineLevel="0" collapsed="false">
      <c r="A35" s="4" t="s">
        <v>352</v>
      </c>
      <c r="E35" s="49" t="n">
        <f aca="false">Assumptions!B36</f>
        <v>46477</v>
      </c>
      <c r="F35" s="50" t="n">
        <f aca="false">DATE(YEAR(E35)+1,3,31)</f>
        <v>46843</v>
      </c>
      <c r="G35" s="50" t="n">
        <f aca="false">DATE(YEAR(F35)+1,3,31)</f>
        <v>47208</v>
      </c>
      <c r="H35" s="50" t="n">
        <f aca="false">DATE(YEAR(G35)+1,3,31)</f>
        <v>47573</v>
      </c>
      <c r="I35" s="50" t="n">
        <f aca="false">DATE(YEAR(H35)+1,3,31)</f>
        <v>47938</v>
      </c>
      <c r="J35" s="50" t="n">
        <f aca="false">DATE(YEAR(I35)+1,3,31)</f>
        <v>48304</v>
      </c>
      <c r="K35" s="50" t="n">
        <f aca="false">DATE(YEAR(J35)+1,3,31)</f>
        <v>48669</v>
      </c>
      <c r="L35" s="50" t="n">
        <f aca="false">DATE(YEAR(K35)+1,3,31)</f>
        <v>49034</v>
      </c>
      <c r="M35" s="50" t="n">
        <f aca="false">DATE(YEAR(L35)+1,3,31)</f>
        <v>49399</v>
      </c>
      <c r="N35" s="50" t="n">
        <f aca="false">DATE(YEAR(M35)+1,3,31)</f>
        <v>49765</v>
      </c>
    </row>
    <row r="36" customFormat="false" ht="15" hidden="false" customHeight="false" outlineLevel="0" collapsed="false">
      <c r="A36" s="4" t="s">
        <v>353</v>
      </c>
      <c r="E36" s="47" t="n">
        <f aca="false">$B$20</f>
        <v>0.446575342465753</v>
      </c>
      <c r="F36" s="47" t="n">
        <v>1</v>
      </c>
      <c r="G36" s="47" t="n">
        <v>1</v>
      </c>
      <c r="H36" s="47" t="n">
        <v>1</v>
      </c>
      <c r="I36" s="47" t="n">
        <v>1</v>
      </c>
      <c r="J36" s="47" t="n">
        <v>1</v>
      </c>
      <c r="K36" s="47" t="n">
        <v>1</v>
      </c>
      <c r="L36" s="47" t="n">
        <v>1</v>
      </c>
      <c r="M36" s="47" t="n">
        <v>1</v>
      </c>
      <c r="N36" s="47" t="n">
        <v>1</v>
      </c>
    </row>
    <row r="37" customFormat="false" ht="15" hidden="false" customHeight="false" outlineLevel="0" collapsed="false">
      <c r="A37" s="4" t="s">
        <v>354</v>
      </c>
      <c r="E37" s="47" t="n">
        <f aca="false">E36*(1-0.5*$B$19)</f>
        <v>0.223287671232877</v>
      </c>
      <c r="F37" s="47" t="n">
        <f aca="false">$B$20+F34-1+(1-0.5*$B$19)</f>
        <v>1.94657534246575</v>
      </c>
      <c r="G37" s="47" t="n">
        <f aca="false">$B$20+G34-1+(1-0.5*$B$19)</f>
        <v>2.94657534246575</v>
      </c>
      <c r="H37" s="47" t="n">
        <f aca="false">$B$20+H34-1+(1-0.5*$B$19)</f>
        <v>3.94657534246575</v>
      </c>
      <c r="I37" s="47" t="n">
        <f aca="false">$B$20+I34-1+(1-0.5*$B$19)</f>
        <v>4.94657534246575</v>
      </c>
      <c r="J37" s="47" t="n">
        <f aca="false">$B$20+J34-1+(1-0.5*$B$19)</f>
        <v>5.94657534246575</v>
      </c>
      <c r="K37" s="47" t="n">
        <f aca="false">$B$20+K34-1+(1-0.5*$B$19)</f>
        <v>6.94657534246575</v>
      </c>
      <c r="L37" s="47" t="n">
        <f aca="false">$B$20+L34-1+(1-0.5*$B$19)</f>
        <v>7.94657534246575</v>
      </c>
      <c r="M37" s="47" t="n">
        <f aca="false">$B$20+M34-1+(1-0.5*$B$19)</f>
        <v>8.94657534246575</v>
      </c>
      <c r="N37" s="47" t="n">
        <f aca="false">$B$20+N34-1+(1-0.5*$B$19)</f>
        <v>9.94657534246575</v>
      </c>
      <c r="O37" s="2" t="s">
        <v>355</v>
      </c>
    </row>
    <row r="38" customFormat="false" ht="15" hidden="false" customHeight="false" outlineLevel="0" collapsed="false">
      <c r="A38" s="4" t="s">
        <v>356</v>
      </c>
      <c r="E38" s="51" t="n">
        <f aca="false">1/(1+$B$17)^E37</f>
        <v>0.978254026051111</v>
      </c>
      <c r="F38" s="51" t="n">
        <f aca="false">1/(1+$B$17)^F37</f>
        <v>0.825580494366135</v>
      </c>
      <c r="G38" s="51" t="n">
        <f aca="false">1/(1+$B$17)^G37</f>
        <v>0.748164069262657</v>
      </c>
      <c r="H38" s="51" t="n">
        <f aca="false">1/(1+$B$17)^H37</f>
        <v>0.67800714570591</v>
      </c>
      <c r="I38" s="51" t="n">
        <f aca="false">1/(1+$B$17)^I37</f>
        <v>0.614428984916798</v>
      </c>
      <c r="J38" s="51" t="n">
        <f aca="false">1/(1+$B$17)^J37</f>
        <v>0.55681268242804</v>
      </c>
      <c r="K38" s="51" t="n">
        <f aca="false">1/(1+$B$17)^K37</f>
        <v>0.50459918220605</v>
      </c>
      <c r="L38" s="51" t="n">
        <f aca="false">1/(1+$B$17)^L37</f>
        <v>0.457281852081234</v>
      </c>
      <c r="M38" s="51" t="n">
        <f aca="false">1/(1+$B$17)^M37</f>
        <v>0.414401567851642</v>
      </c>
      <c r="N38" s="51" t="n">
        <f aca="false">1/(1+$B$17)^N37</f>
        <v>0.375542258360589</v>
      </c>
    </row>
    <row r="39" customFormat="false" ht="15" hidden="false" customHeight="false" outlineLevel="0" collapsed="false">
      <c r="A39" s="4" t="s">
        <v>357</v>
      </c>
      <c r="E39" s="38" t="n">
        <f aca="false">E32*E36</f>
        <v>1180.37762020876</v>
      </c>
      <c r="F39" s="38" t="n">
        <f aca="false">F32*F36</f>
        <v>2923.82415001534</v>
      </c>
      <c r="G39" s="38" t="n">
        <f aca="false">G32*G36</f>
        <v>3184.89144697621</v>
      </c>
      <c r="H39" s="38" t="n">
        <f aca="false">H32*H36</f>
        <v>3434.68736888065</v>
      </c>
      <c r="I39" s="38" t="n">
        <f aca="false">I32*I36</f>
        <v>3707.04604758255</v>
      </c>
      <c r="J39" s="38" t="n">
        <f aca="false">J32*J36</f>
        <v>3980.53445165827</v>
      </c>
      <c r="K39" s="38" t="n">
        <f aca="false">K32*K36</f>
        <v>4255.09089376946</v>
      </c>
      <c r="L39" s="38" t="n">
        <f aca="false">L32*L36</f>
        <v>4528.00169714584</v>
      </c>
      <c r="M39" s="38" t="n">
        <f aca="false">M32*M36</f>
        <v>4796.38409279568</v>
      </c>
      <c r="N39" s="38" t="n">
        <f aca="false">N32*N36</f>
        <v>5057.23019764497</v>
      </c>
    </row>
    <row r="40" customFormat="false" ht="15" hidden="false" customHeight="false" outlineLevel="0" collapsed="false">
      <c r="A40" s="3" t="s">
        <v>358</v>
      </c>
      <c r="E40" s="37" t="n">
        <f aca="false">E39*E38</f>
        <v>1154.70915922985</v>
      </c>
      <c r="F40" s="37" t="n">
        <f aca="false">F39*F38</f>
        <v>2413.85218720931</v>
      </c>
      <c r="G40" s="37" t="n">
        <f aca="false">G39*G38</f>
        <v>2382.82134512955</v>
      </c>
      <c r="H40" s="37" t="n">
        <f aca="false">H39*H38</f>
        <v>2328.74257936691</v>
      </c>
      <c r="I40" s="37" t="n">
        <f aca="false">I39*I38</f>
        <v>2277.71654005598</v>
      </c>
      <c r="J40" s="37" t="n">
        <f aca="false">J39*J38</f>
        <v>2216.41206552507</v>
      </c>
      <c r="K40" s="37" t="n">
        <f aca="false">K39*K38</f>
        <v>2147.11538520848</v>
      </c>
      <c r="L40" s="37" t="n">
        <f aca="false">L39*L38</f>
        <v>2070.57300229782</v>
      </c>
      <c r="M40" s="37" t="n">
        <f aca="false">M39*M38</f>
        <v>1987.62908807321</v>
      </c>
      <c r="N40" s="37" t="n">
        <f aca="false">N39*N38</f>
        <v>1899.20364947296</v>
      </c>
    </row>
    <row r="42" customFormat="false" ht="15" hidden="false" customHeight="false" outlineLevel="0" collapsed="false">
      <c r="A42" s="25" t="s">
        <v>359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</row>
    <row r="43" customFormat="false" ht="15" hidden="false" customHeight="false" outlineLevel="0" collapsed="false">
      <c r="A43" s="4" t="s">
        <v>360</v>
      </c>
      <c r="B43" s="38" t="n">
        <f aca="false">SUM(E40:N40)</f>
        <v>20878.7750015691</v>
      </c>
    </row>
    <row r="44" customFormat="false" ht="15" hidden="false" customHeight="false" outlineLevel="0" collapsed="false">
      <c r="A44" s="4" t="s">
        <v>361</v>
      </c>
      <c r="B44" s="38" t="n">
        <f aca="false">N32*(1+B18)</f>
        <v>5335.37785851545</v>
      </c>
    </row>
    <row r="45" customFormat="false" ht="15" hidden="false" customHeight="false" outlineLevel="0" collapsed="false">
      <c r="A45" s="4" t="s">
        <v>362</v>
      </c>
      <c r="B45" s="38" t="n">
        <f aca="false">B44/(B17-B18)</f>
        <v>110064.075926434</v>
      </c>
    </row>
    <row r="46" customFormat="false" ht="15" hidden="false" customHeight="false" outlineLevel="0" collapsed="false">
      <c r="A46" s="4" t="s">
        <v>363</v>
      </c>
      <c r="B46" s="38" t="n">
        <f aca="false">B45*N38</f>
        <v>41333.7116377841</v>
      </c>
    </row>
    <row r="47" customFormat="false" ht="15" hidden="false" customHeight="false" outlineLevel="0" collapsed="false">
      <c r="A47" s="3" t="s">
        <v>364</v>
      </c>
      <c r="B47" s="37" t="n">
        <f aca="false">B43+B46</f>
        <v>62212.4866393533</v>
      </c>
    </row>
    <row r="48" customFormat="false" ht="15" hidden="false" customHeight="false" outlineLevel="0" collapsed="false">
      <c r="A48" s="4" t="s">
        <v>365</v>
      </c>
      <c r="B48" s="28" t="n">
        <f aca="false">B46/B47</f>
        <v>0.664395748676569</v>
      </c>
    </row>
    <row r="49" customFormat="false" ht="15" hidden="false" customHeight="false" outlineLevel="0" collapsed="false">
      <c r="A49" s="4" t="s">
        <v>366</v>
      </c>
      <c r="B49" s="52" t="n">
        <f aca="false">B45/N24</f>
        <v>14.5090556588931</v>
      </c>
    </row>
    <row r="51" customFormat="false" ht="15" hidden="false" customHeight="false" outlineLevel="0" collapsed="false">
      <c r="A51" s="25" t="s">
        <v>367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</row>
    <row r="52" customFormat="false" ht="15" hidden="false" customHeight="false" outlineLevel="0" collapsed="false">
      <c r="A52" s="4" t="s">
        <v>368</v>
      </c>
      <c r="B52" s="21" t="n">
        <f aca="false">Model!D36</f>
        <v>220</v>
      </c>
    </row>
    <row r="53" customFormat="false" ht="15" hidden="false" customHeight="false" outlineLevel="0" collapsed="false">
      <c r="A53" s="4" t="s">
        <v>369</v>
      </c>
      <c r="B53" s="21" t="n">
        <f aca="false">Model!D35</f>
        <v>3156.23</v>
      </c>
    </row>
    <row r="54" customFormat="false" ht="15" hidden="false" customHeight="false" outlineLevel="0" collapsed="false">
      <c r="A54" s="4" t="s">
        <v>370</v>
      </c>
      <c r="B54" s="21" t="n">
        <f aca="false">Model!D37</f>
        <v>222.44</v>
      </c>
    </row>
    <row r="55" customFormat="false" ht="15" hidden="false" customHeight="false" outlineLevel="0" collapsed="false">
      <c r="A55" s="4" t="s">
        <v>371</v>
      </c>
      <c r="B55" s="21" t="n">
        <f aca="false">Model!D34</f>
        <v>453.53</v>
      </c>
    </row>
    <row r="56" customFormat="false" ht="15" hidden="false" customHeight="false" outlineLevel="0" collapsed="false">
      <c r="A56" s="4" t="s">
        <v>372</v>
      </c>
      <c r="B56" s="21" t="n">
        <f aca="false">-Model!D45</f>
        <v>-1380.28</v>
      </c>
    </row>
    <row r="57" customFormat="false" ht="15" hidden="false" customHeight="false" outlineLevel="0" collapsed="false">
      <c r="A57" s="4" t="s">
        <v>373</v>
      </c>
      <c r="B57" s="21" t="n">
        <f aca="false">-Historical!D59</f>
        <v>-29.32</v>
      </c>
    </row>
    <row r="58" customFormat="false" ht="15" hidden="false" customHeight="false" outlineLevel="0" collapsed="false">
      <c r="A58" s="3" t="s">
        <v>374</v>
      </c>
      <c r="B58" s="37" t="n">
        <f aca="false">SUM(B52:B57)</f>
        <v>2642.6</v>
      </c>
    </row>
    <row r="59" customFormat="false" ht="15" hidden="false" customHeight="false" outlineLevel="0" collapsed="false">
      <c r="A59" s="3" t="s">
        <v>375</v>
      </c>
      <c r="B59" s="37" t="n">
        <f aca="false">B47+B58</f>
        <v>64855.0866393533</v>
      </c>
    </row>
    <row r="60" customFormat="false" ht="15" hidden="false" customHeight="false" outlineLevel="0" collapsed="false">
      <c r="A60" s="4" t="s">
        <v>119</v>
      </c>
      <c r="B60" s="32" t="n">
        <f aca="false">Assumptions!$B$39</f>
        <v>24.09</v>
      </c>
    </row>
    <row r="61" customFormat="false" ht="15" hidden="false" customHeight="false" outlineLevel="0" collapsed="false">
      <c r="A61" s="3" t="s">
        <v>4</v>
      </c>
      <c r="B61" s="53" t="n">
        <f aca="false">B59/B60</f>
        <v>2692.19952840819</v>
      </c>
    </row>
    <row r="62" customFormat="false" ht="15" hidden="false" customHeight="false" outlineLevel="0" collapsed="false">
      <c r="A62" s="4" t="s">
        <v>5</v>
      </c>
      <c r="B62" s="21" t="n">
        <f aca="false">Assumptions!$B$37</f>
        <v>4764</v>
      </c>
    </row>
    <row r="63" customFormat="false" ht="15" hidden="false" customHeight="false" outlineLevel="0" collapsed="false">
      <c r="A63" s="3" t="s">
        <v>6</v>
      </c>
      <c r="B63" s="54" t="n">
        <f aca="false">B61/B62-1</f>
        <v>-0.43488674886478</v>
      </c>
    </row>
    <row r="65" customFormat="false" ht="15" hidden="false" customHeight="false" outlineLevel="0" collapsed="false">
      <c r="A65" s="25" t="s">
        <v>376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</row>
    <row r="66" customFormat="false" ht="15" hidden="false" customHeight="false" outlineLevel="0" collapsed="false">
      <c r="A66" s="4" t="s">
        <v>377</v>
      </c>
      <c r="B66" s="38" t="n">
        <f aca="false">B13-B58</f>
        <v>112122.16</v>
      </c>
    </row>
    <row r="67" customFormat="false" ht="15" hidden="false" customHeight="false" outlineLevel="0" collapsed="false">
      <c r="A67" s="3" t="s">
        <v>378</v>
      </c>
      <c r="B67" s="55" t="n">
        <f aca="false">(((B66-B43)/N38)*B17-N32)/(((B66-B43)/N38)+N32)</f>
        <v>0.0809750273932159</v>
      </c>
      <c r="C67" s="2" t="s">
        <v>379</v>
      </c>
    </row>
    <row r="68" customFormat="false" ht="15" hidden="false" customHeight="false" outlineLevel="0" collapsed="false">
      <c r="A68" s="4" t="s">
        <v>380</v>
      </c>
      <c r="B68" s="52" t="n">
        <f aca="false">B66/Model!D14</f>
        <v>31.6333401985651</v>
      </c>
    </row>
    <row r="69" customFormat="false" ht="15" hidden="false" customHeight="false" outlineLevel="0" collapsed="false">
      <c r="A69" s="4" t="s">
        <v>381</v>
      </c>
      <c r="B69" s="52" t="n">
        <f aca="false">B66/Model!E14</f>
        <v>28.3669280957396</v>
      </c>
    </row>
    <row r="70" customFormat="false" ht="15" hidden="false" customHeight="false" outlineLevel="0" collapsed="false">
      <c r="A70" s="4" t="s">
        <v>382</v>
      </c>
      <c r="B70" s="52" t="n">
        <f aca="false">B47/Model!E14</f>
        <v>15.7397711135399</v>
      </c>
    </row>
    <row r="71" customFormat="false" ht="15" hidden="false" customHeight="false" outlineLevel="0" collapsed="false">
      <c r="A71" s="4" t="s">
        <v>383</v>
      </c>
      <c r="B71" s="52" t="n">
        <f aca="false">B62/Model!D27</f>
        <v>45.2937820878494</v>
      </c>
    </row>
    <row r="72" customFormat="false" ht="15" hidden="false" customHeight="false" outlineLevel="0" collapsed="false">
      <c r="A72" s="4" t="s">
        <v>384</v>
      </c>
      <c r="B72" s="52" t="n">
        <f aca="false">B62/Model!E27</f>
        <v>40.7918137010002</v>
      </c>
    </row>
    <row r="73" customFormat="false" ht="15" hidden="false" customHeight="false" outlineLevel="0" collapsed="false">
      <c r="A73" s="4" t="s">
        <v>385</v>
      </c>
      <c r="B73" s="52" t="n">
        <f aca="false">B61/Model!E27</f>
        <v>23.0519944602745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3"/>
  </cols>
  <sheetData>
    <row r="1" customFormat="false" ht="17.35" hidden="false" customHeight="false" outlineLevel="0" collapsed="false">
      <c r="A1" s="1" t="s">
        <v>386</v>
      </c>
    </row>
    <row r="2" customFormat="false" ht="15" hidden="false" customHeight="false" outlineLevel="0" collapsed="false">
      <c r="A2" s="2" t="s">
        <v>387</v>
      </c>
    </row>
    <row r="4" customFormat="false" ht="15" hidden="false" customHeight="false" outlineLevel="0" collapsed="false">
      <c r="A4" s="4" t="s">
        <v>388</v>
      </c>
      <c r="B4" s="35" t="n">
        <v>0.005</v>
      </c>
    </row>
    <row r="5" customFormat="false" ht="15" hidden="false" customHeight="false" outlineLevel="0" collapsed="false">
      <c r="A5" s="4" t="s">
        <v>389</v>
      </c>
      <c r="B5" s="35" t="n">
        <v>0.005</v>
      </c>
    </row>
    <row r="6" customFormat="false" ht="15" hidden="false" customHeight="false" outlineLevel="0" collapsed="false">
      <c r="A6" s="4" t="s">
        <v>390</v>
      </c>
      <c r="B6" s="42" t="n">
        <f aca="false">DCF!B17</f>
        <v>0.103475197866392</v>
      </c>
    </row>
    <row r="7" customFormat="false" ht="15" hidden="false" customHeight="false" outlineLevel="0" collapsed="false">
      <c r="A7" s="4" t="s">
        <v>391</v>
      </c>
      <c r="B7" s="42" t="n">
        <f aca="false">DCF!B18</f>
        <v>0.055</v>
      </c>
    </row>
    <row r="9" customFormat="false" ht="15" hidden="false" customHeight="false" outlineLevel="0" collapsed="false">
      <c r="A9" s="25" t="s">
        <v>392</v>
      </c>
      <c r="B9" s="26"/>
      <c r="C9" s="26"/>
      <c r="D9" s="26"/>
      <c r="E9" s="26"/>
      <c r="F9" s="26"/>
      <c r="G9" s="26"/>
      <c r="H9" s="26"/>
    </row>
    <row r="10" customFormat="false" ht="15" hidden="false" customHeight="false" outlineLevel="0" collapsed="false">
      <c r="A10" s="2" t="s">
        <v>393</v>
      </c>
      <c r="B10" s="56" t="n">
        <f aca="false">$B$7+(0-2)*$B$5</f>
        <v>0.045</v>
      </c>
      <c r="C10" s="56" t="n">
        <f aca="false">$B$7+(1-2)*$B$5</f>
        <v>0.05</v>
      </c>
      <c r="D10" s="56" t="n">
        <f aca="false">$B$7+(2-2)*$B$5</f>
        <v>0.055</v>
      </c>
      <c r="E10" s="56" t="n">
        <f aca="false">$B$7+(3-2)*$B$5</f>
        <v>0.06</v>
      </c>
      <c r="F10" s="56" t="n">
        <f aca="false">$B$7+(4-2)*$B$5</f>
        <v>0.065</v>
      </c>
    </row>
    <row r="11" customFormat="false" ht="15" hidden="false" customHeight="false" outlineLevel="0" collapsed="false">
      <c r="A11" s="57" t="n">
        <f aca="false">$B$6+(0-2)*$B$4</f>
        <v>0.0934751978663919</v>
      </c>
      <c r="B11" s="58" t="n">
        <f aca="false">(SUMPRODUCT(DCF!$E$39:$N$39/(1+$A11)^DCF!$E$37:$N$37)+DCF!$N$32*(1+B$10)/($A11-B$10)/(1+$A11)^DCF!$N$37+DCF!$B$58)/DCF!$B$60</f>
        <v>2881.33869613661</v>
      </c>
      <c r="C11" s="58" t="n">
        <f aca="false">(SUMPRODUCT(DCF!$E$39:$N$39/(1+$A11)^DCF!$E$37:$N$37)+DCF!$N$32*(1+C$10)/($A11-C$10)/(1+$A11)^DCF!$N$37+DCF!$B$58)/DCF!$B$60</f>
        <v>3105.25086244362</v>
      </c>
      <c r="D11" s="58" t="n">
        <f aca="false">(SUMPRODUCT(DCF!$E$39:$N$39/(1+$A11)^DCF!$E$37:$N$37)+DCF!$N$32*(1+D$10)/($A11-D$10)/(1+$A11)^DCF!$N$37+DCF!$B$58)/DCF!$B$60</f>
        <v>3387.3595238238</v>
      </c>
      <c r="E11" s="58" t="n">
        <f aca="false">(SUMPRODUCT(DCF!$E$39:$N$39/(1+$A11)^DCF!$E$37:$N$37)+DCF!$N$32*(1+E$10)/($A11-E$10)/(1+$A11)^DCF!$N$37+DCF!$B$58)/DCF!$B$60</f>
        <v>3753.74211914938</v>
      </c>
      <c r="F11" s="58" t="n">
        <f aca="false">(SUMPRODUCT(DCF!$E$39:$N$39/(1+$A11)^DCF!$E$37:$N$37)+DCF!$N$32*(1+F$10)/($A11-F$10)/(1+$A11)^DCF!$N$37+DCF!$B$58)/DCF!$B$60</f>
        <v>4248.79198381042</v>
      </c>
    </row>
    <row r="12" customFormat="false" ht="15" hidden="false" customHeight="false" outlineLevel="0" collapsed="false">
      <c r="A12" s="57" t="n">
        <f aca="false">$B$6+(1-2)*$B$4</f>
        <v>0.0984751978663919</v>
      </c>
      <c r="B12" s="58" t="n">
        <f aca="false">(SUMPRODUCT(DCF!$E$39:$N$39/(1+$A12)^DCF!$E$37:$N$37)+DCF!$N$32*(1+B$10)/($A12-B$10)/(1+$A12)^DCF!$N$37+DCF!$B$58)/DCF!$B$60</f>
        <v>2609.98068234347</v>
      </c>
      <c r="C12" s="58" t="n">
        <f aca="false">(SUMPRODUCT(DCF!$E$39:$N$39/(1+$A12)^DCF!$E$37:$N$37)+DCF!$N$32*(1+C$10)/($A12-C$10)/(1+$A12)^DCF!$N$37+DCF!$B$58)/DCF!$B$60</f>
        <v>2784.74020167989</v>
      </c>
      <c r="D12" s="58" t="n">
        <f aca="false">(SUMPRODUCT(DCF!$E$39:$N$39/(1+$A12)^DCF!$E$37:$N$37)+DCF!$N$32*(1+D$10)/($A12-D$10)/(1+$A12)^DCF!$N$37+DCF!$B$58)/DCF!$B$60</f>
        <v>2999.6972423418</v>
      </c>
      <c r="E12" s="58" t="n">
        <f aca="false">(SUMPRODUCT(DCF!$E$39:$N$39/(1+$A12)^DCF!$E$37:$N$37)+DCF!$N$32*(1+E$10)/($A12-E$10)/(1+$A12)^DCF!$N$37+DCF!$B$58)/DCF!$B$60</f>
        <v>3270.52327201017</v>
      </c>
      <c r="F12" s="58" t="n">
        <f aca="false">(SUMPRODUCT(DCF!$E$39:$N$39/(1+$A12)^DCF!$E$37:$N$37)+DCF!$N$32*(1+F$10)/($A12-F$10)/(1+$A12)^DCF!$N$37+DCF!$B$58)/DCF!$B$60</f>
        <v>3622.25279050908</v>
      </c>
    </row>
    <row r="13" customFormat="false" ht="15" hidden="false" customHeight="false" outlineLevel="0" collapsed="false">
      <c r="A13" s="57" t="n">
        <f aca="false">$B$6+(2-2)*$B$4</f>
        <v>0.103475197866392</v>
      </c>
      <c r="B13" s="58" t="n">
        <f aca="false">(SUMPRODUCT(DCF!$E$39:$N$39/(1+$A13)^DCF!$E$37:$N$37)+DCF!$N$32*(1+B$10)/($A13-B$10)/(1+$A13)^DCF!$N$37+DCF!$B$58)/DCF!$B$60</f>
        <v>2385.29307406215</v>
      </c>
      <c r="C13" s="58" t="n">
        <f aca="false">(SUMPRODUCT(DCF!$E$39:$N$39/(1+$A13)^DCF!$E$37:$N$37)+DCF!$N$32*(1+C$10)/($A13-C$10)/(1+$A13)^DCF!$N$37+DCF!$B$58)/DCF!$B$60</f>
        <v>2524.39822649252</v>
      </c>
      <c r="D13" s="59" t="n">
        <f aca="false">(SUMPRODUCT(DCF!$E$39:$N$39/(1+$A13)^DCF!$E$37:$N$37)+DCF!$N$32*(1+D$10)/($A13-D$10)/(1+$A13)^DCF!$N$37+DCF!$B$58)/DCF!$B$60</f>
        <v>2692.19952840819</v>
      </c>
      <c r="E13" s="58" t="n">
        <f aca="false">(SUMPRODUCT(DCF!$E$39:$N$39/(1+$A13)^DCF!$E$37:$N$37)+DCF!$N$32*(1+E$10)/($A13-E$10)/(1+$A13)^DCF!$N$37+DCF!$B$58)/DCF!$B$60</f>
        <v>2898.59784888864</v>
      </c>
      <c r="F13" s="58" t="n">
        <f aca="false">(SUMPRODUCT(DCF!$E$39:$N$39/(1+$A13)^DCF!$E$37:$N$37)+DCF!$N$32*(1+F$10)/($A13-F$10)/(1+$A13)^DCF!$N$37+DCF!$B$58)/DCF!$B$60</f>
        <v>3158.6406811393</v>
      </c>
    </row>
    <row r="14" customFormat="false" ht="15" hidden="false" customHeight="false" outlineLevel="0" collapsed="false">
      <c r="A14" s="57" t="n">
        <f aca="false">$B$6+(3-2)*$B$4</f>
        <v>0.108475197866392</v>
      </c>
      <c r="B14" s="58" t="n">
        <f aca="false">(SUMPRODUCT(DCF!$E$39:$N$39/(1+$A14)^DCF!$E$37:$N$37)+DCF!$N$32*(1+B$10)/($A14-B$10)/(1+$A14)^DCF!$N$37+DCF!$B$58)/DCF!$B$60</f>
        <v>2196.23961136501</v>
      </c>
      <c r="C14" s="58" t="n">
        <f aca="false">(SUMPRODUCT(DCF!$E$39:$N$39/(1+$A14)^DCF!$E$37:$N$37)+DCF!$N$32*(1+C$10)/($A14-C$10)/(1+$A14)^DCF!$N$37+DCF!$B$58)/DCF!$B$60</f>
        <v>2308.78450930878</v>
      </c>
      <c r="D14" s="58" t="n">
        <f aca="false">(SUMPRODUCT(DCF!$E$39:$N$39/(1+$A14)^DCF!$E$37:$N$37)+DCF!$N$32*(1+D$10)/($A14-D$10)/(1+$A14)^DCF!$N$37+DCF!$B$58)/DCF!$B$60</f>
        <v>2442.37559360327</v>
      </c>
      <c r="E14" s="58" t="n">
        <f aca="false">(SUMPRODUCT(DCF!$E$39:$N$39/(1+$A14)^DCF!$E$37:$N$37)+DCF!$N$32*(1+E$10)/($A14-E$10)/(1+$A14)^DCF!$N$37+DCF!$B$58)/DCF!$B$60</f>
        <v>2603.52532441689</v>
      </c>
      <c r="F14" s="58" t="n">
        <f aca="false">(SUMPRODUCT(DCF!$E$39:$N$39/(1+$A14)^DCF!$E$37:$N$37)+DCF!$N$32*(1+F$10)/($A14-F$10)/(1+$A14)^DCF!$N$37+DCF!$B$58)/DCF!$B$60</f>
        <v>2801.74210465692</v>
      </c>
    </row>
    <row r="15" customFormat="false" ht="15" hidden="false" customHeight="false" outlineLevel="0" collapsed="false">
      <c r="A15" s="57" t="n">
        <f aca="false">$B$6+(4-2)*$B$4</f>
        <v>0.113475197866392</v>
      </c>
      <c r="B15" s="58" t="n">
        <f aca="false">(SUMPRODUCT(DCF!$E$39:$N$39/(1+$A15)^DCF!$E$37:$N$37)+DCF!$N$32*(1+B$10)/($A15-B$10)/(1+$A15)^DCF!$N$37+DCF!$B$58)/DCF!$B$60</f>
        <v>2035.00774012294</v>
      </c>
      <c r="C15" s="58" t="n">
        <f aca="false">(SUMPRODUCT(DCF!$E$39:$N$39/(1+$A15)^DCF!$E$37:$N$37)+DCF!$N$32*(1+C$10)/($A15-C$10)/(1+$A15)^DCF!$N$37+DCF!$B$58)/DCF!$B$60</f>
        <v>2127.32385734973</v>
      </c>
      <c r="D15" s="58" t="n">
        <f aca="false">(SUMPRODUCT(DCF!$E$39:$N$39/(1+$A15)^DCF!$E$37:$N$37)+DCF!$N$32*(1+D$10)/($A15-D$10)/(1+$A15)^DCF!$N$37+DCF!$B$58)/DCF!$B$60</f>
        <v>2235.42720071601</v>
      </c>
      <c r="E15" s="58" t="n">
        <f aca="false">(SUMPRODUCT(DCF!$E$39:$N$39/(1+$A15)^DCF!$E$37:$N$37)+DCF!$N$32*(1+E$10)/($A15-E$10)/(1+$A15)^DCF!$N$37+DCF!$B$58)/DCF!$B$60</f>
        <v>2363.74614826507</v>
      </c>
      <c r="F15" s="58" t="n">
        <f aca="false">(SUMPRODUCT(DCF!$E$39:$N$39/(1+$A15)^DCF!$E$37:$N$37)+DCF!$N$32*(1+F$10)/($A15-F$10)/(1+$A15)^DCF!$N$37+DCF!$B$58)/DCF!$B$60</f>
        <v>2518.53614765032</v>
      </c>
    </row>
    <row r="18" customFormat="false" ht="15" hidden="false" customHeight="false" outlineLevel="0" collapsed="false">
      <c r="A18" s="25" t="s">
        <v>394</v>
      </c>
      <c r="B18" s="26"/>
      <c r="C18" s="26"/>
      <c r="D18" s="26"/>
      <c r="E18" s="26"/>
      <c r="F18" s="26"/>
      <c r="G18" s="26"/>
      <c r="H18" s="26"/>
    </row>
    <row r="19" customFormat="false" ht="15" hidden="false" customHeight="false" outlineLevel="0" collapsed="false">
      <c r="A19" s="2" t="s">
        <v>393</v>
      </c>
      <c r="B19" s="56" t="n">
        <f aca="false">$B$7+(0-2)*$B$5</f>
        <v>0.045</v>
      </c>
      <c r="C19" s="56" t="n">
        <f aca="false">$B$7+(1-2)*$B$5</f>
        <v>0.05</v>
      </c>
      <c r="D19" s="56" t="n">
        <f aca="false">$B$7+(2-2)*$B$5</f>
        <v>0.055</v>
      </c>
      <c r="E19" s="56" t="n">
        <f aca="false">$B$7+(3-2)*$B$5</f>
        <v>0.06</v>
      </c>
      <c r="F19" s="56" t="n">
        <f aca="false">$B$7+(4-2)*$B$5</f>
        <v>0.065</v>
      </c>
    </row>
    <row r="20" customFormat="false" ht="15" hidden="false" customHeight="false" outlineLevel="0" collapsed="false">
      <c r="A20" s="57" t="n">
        <f aca="false">$B$6+(0-2)*$B$4</f>
        <v>0.0934751978663919</v>
      </c>
      <c r="B20" s="28" t="n">
        <f aca="false">(SUMPRODUCT(DCF!$E$39:$N$39/(1+$A20)^DCF!$E$37:$N$37)+DCF!$N$32*(1+B$19)/($A20-B$19)/(1+$A20)^DCF!$N$37+DCF!$B$58)/DCF!$B$60/DCF!$B$62-1</f>
        <v>-0.39518499241465</v>
      </c>
      <c r="C20" s="28" t="n">
        <f aca="false">(SUMPRODUCT(DCF!$E$39:$N$39/(1+$A20)^DCF!$E$37:$N$37)+DCF!$N$32*(1+C$19)/($A20-C$19)/(1+$A20)^DCF!$N$37+DCF!$B$58)/DCF!$B$60/DCF!$B$62-1</f>
        <v>-0.348184117874974</v>
      </c>
      <c r="D20" s="28" t="n">
        <f aca="false">(SUMPRODUCT(DCF!$E$39:$N$39/(1+$A20)^DCF!$E$37:$N$37)+DCF!$N$32*(1+D$19)/($A20-D$19)/(1+$A20)^DCF!$N$37+DCF!$B$58)/DCF!$B$60/DCF!$B$62-1</f>
        <v>-0.288967354361084</v>
      </c>
      <c r="E20" s="28" t="n">
        <f aca="false">(SUMPRODUCT(DCF!$E$39:$N$39/(1+$A20)^DCF!$E$37:$N$37)+DCF!$N$32*(1+E$19)/($A20-E$19)/(1+$A20)^DCF!$N$37+DCF!$B$58)/DCF!$B$60/DCF!$B$62-1</f>
        <v>-0.21206084820542</v>
      </c>
      <c r="F20" s="28" t="n">
        <f aca="false">(SUMPRODUCT(DCF!$E$39:$N$39/(1+$A20)^DCF!$E$37:$N$37)+DCF!$N$32*(1+F$19)/($A20-F$19)/(1+$A20)^DCF!$N$37+DCF!$B$58)/DCF!$B$60/DCF!$B$62-1</f>
        <v>-0.1081460991162</v>
      </c>
    </row>
    <row r="21" customFormat="false" ht="15" hidden="false" customHeight="false" outlineLevel="0" collapsed="false">
      <c r="A21" s="57" t="n">
        <f aca="false">$B$6+(1-2)*$B$4</f>
        <v>0.0984751978663919</v>
      </c>
      <c r="B21" s="28" t="n">
        <f aca="false">(SUMPRODUCT(DCF!$E$39:$N$39/(1+$A21)^DCF!$E$37:$N$37)+DCF!$N$32*(1+B$19)/($A21-B$19)/(1+$A21)^DCF!$N$37+DCF!$B$58)/DCF!$B$60/DCF!$B$62-1</f>
        <v>-0.452145112858213</v>
      </c>
      <c r="C21" s="28" t="n">
        <f aca="false">(SUMPRODUCT(DCF!$E$39:$N$39/(1+$A21)^DCF!$E$37:$N$37)+DCF!$N$32*(1+C$19)/($A21-C$19)/(1+$A21)^DCF!$N$37+DCF!$B$58)/DCF!$B$60/DCF!$B$62-1</f>
        <v>-0.415461754475254</v>
      </c>
      <c r="D21" s="28" t="n">
        <f aca="false">(SUMPRODUCT(DCF!$E$39:$N$39/(1+$A21)^DCF!$E$37:$N$37)+DCF!$N$32*(1+D$19)/($A21-D$19)/(1+$A21)^DCF!$N$37+DCF!$B$58)/DCF!$B$60/DCF!$B$62-1</f>
        <v>-0.370340629231361</v>
      </c>
      <c r="E21" s="28" t="n">
        <f aca="false">(SUMPRODUCT(DCF!$E$39:$N$39/(1+$A21)^DCF!$E$37:$N$37)+DCF!$N$32*(1+E$19)/($A21-E$19)/(1+$A21)^DCF!$N$37+DCF!$B$58)/DCF!$B$60/DCF!$B$62-1</f>
        <v>-0.313492176320283</v>
      </c>
      <c r="F21" s="28" t="n">
        <f aca="false">(SUMPRODUCT(DCF!$E$39:$N$39/(1+$A21)^DCF!$E$37:$N$37)+DCF!$N$32*(1+F$19)/($A21-F$19)/(1+$A21)^DCF!$N$37+DCF!$B$58)/DCF!$B$60/DCF!$B$62-1</f>
        <v>-0.239661462949395</v>
      </c>
    </row>
    <row r="22" customFormat="false" ht="15" hidden="false" customHeight="false" outlineLevel="0" collapsed="false">
      <c r="A22" s="57" t="n">
        <f aca="false">$B$6+(2-2)*$B$4</f>
        <v>0.103475197866392</v>
      </c>
      <c r="B22" s="28" t="n">
        <f aca="false">(SUMPRODUCT(DCF!$E$39:$N$39/(1+$A22)^DCF!$E$37:$N$37)+DCF!$N$32*(1+B$19)/($A22-B$19)/(1+$A22)^DCF!$N$37+DCF!$B$58)/DCF!$B$60/DCF!$B$62-1</f>
        <v>-0.499308758593168</v>
      </c>
      <c r="C22" s="28" t="n">
        <f aca="false">(SUMPRODUCT(DCF!$E$39:$N$39/(1+$A22)^DCF!$E$37:$N$37)+DCF!$N$32*(1+C$19)/($A22-C$19)/(1+$A22)^DCF!$N$37+DCF!$B$58)/DCF!$B$60/DCF!$B$62-1</f>
        <v>-0.470109524245903</v>
      </c>
      <c r="D22" s="60" t="n">
        <f aca="false">(SUMPRODUCT(DCF!$E$39:$N$39/(1+$A22)^DCF!$E$37:$N$37)+DCF!$N$32*(1+D$19)/($A22-D$19)/(1+$A22)^DCF!$N$37+DCF!$B$58)/DCF!$B$60/DCF!$B$62-1</f>
        <v>-0.43488674886478</v>
      </c>
      <c r="E22" s="28" t="n">
        <f aca="false">(SUMPRODUCT(DCF!$E$39:$N$39/(1+$A22)^DCF!$E$37:$N$37)+DCF!$N$32*(1+E$19)/($A22-E$19)/(1+$A22)^DCF!$N$37+DCF!$B$58)/DCF!$B$60/DCF!$B$62-1</f>
        <v>-0.391562164381057</v>
      </c>
      <c r="F22" s="28" t="n">
        <f aca="false">(SUMPRODUCT(DCF!$E$39:$N$39/(1+$A22)^DCF!$E$37:$N$37)+DCF!$N$32*(1+F$19)/($A22-F$19)/(1+$A22)^DCF!$N$37+DCF!$B$58)/DCF!$B$60/DCF!$B$62-1</f>
        <v>-0.336977186998467</v>
      </c>
    </row>
    <row r="23" customFormat="false" ht="15" hidden="false" customHeight="false" outlineLevel="0" collapsed="false">
      <c r="A23" s="57" t="n">
        <f aca="false">$B$6+(3-2)*$B$4</f>
        <v>0.108475197866392</v>
      </c>
      <c r="B23" s="28" t="n">
        <f aca="false">(SUMPRODUCT(DCF!$E$39:$N$39/(1+$A23)^DCF!$E$37:$N$37)+DCF!$N$32*(1+B$19)/($A23-B$19)/(1+$A23)^DCF!$N$37+DCF!$B$58)/DCF!$B$60/DCF!$B$62-1</f>
        <v>-0.538992524902391</v>
      </c>
      <c r="C23" s="28" t="n">
        <f aca="false">(SUMPRODUCT(DCF!$E$39:$N$39/(1+$A23)^DCF!$E$37:$N$37)+DCF!$N$32*(1+C$19)/($A23-C$19)/(1+$A23)^DCF!$N$37+DCF!$B$58)/DCF!$B$60/DCF!$B$62-1</f>
        <v>-0.515368490909156</v>
      </c>
      <c r="D23" s="28" t="n">
        <f aca="false">(SUMPRODUCT(DCF!$E$39:$N$39/(1+$A23)^DCF!$E$37:$N$37)+DCF!$N$32*(1+D$19)/($A23-D$19)/(1+$A23)^DCF!$N$37+DCF!$B$58)/DCF!$B$60/DCF!$B$62-1</f>
        <v>-0.487326701594612</v>
      </c>
      <c r="E23" s="28" t="n">
        <f aca="false">(SUMPRODUCT(DCF!$E$39:$N$39/(1+$A23)^DCF!$E$37:$N$37)+DCF!$N$32*(1+E$19)/($A23-E$19)/(1+$A23)^DCF!$N$37+DCF!$B$58)/DCF!$B$60/DCF!$B$62-1</f>
        <v>-0.453500141810057</v>
      </c>
      <c r="F23" s="28" t="n">
        <f aca="false">(SUMPRODUCT(DCF!$E$39:$N$39/(1+$A23)^DCF!$E$37:$N$37)+DCF!$N$32*(1+F$19)/($A23-F$19)/(1+$A23)^DCF!$N$37+DCF!$B$58)/DCF!$B$60/DCF!$B$62-1</f>
        <v>-0.411892925134988</v>
      </c>
    </row>
    <row r="24" customFormat="false" ht="15" hidden="false" customHeight="false" outlineLevel="0" collapsed="false">
      <c r="A24" s="57" t="n">
        <f aca="false">$B$6+(4-2)*$B$4</f>
        <v>0.113475197866392</v>
      </c>
      <c r="B24" s="28" t="n">
        <f aca="false">(SUMPRODUCT(DCF!$E$39:$N$39/(1+$A24)^DCF!$E$37:$N$37)+DCF!$N$32*(1+B$19)/($A24-B$19)/(1+$A24)^DCF!$N$37+DCF!$B$58)/DCF!$B$60/DCF!$B$62-1</f>
        <v>-0.572836326590484</v>
      </c>
      <c r="C24" s="28" t="n">
        <f aca="false">(SUMPRODUCT(DCF!$E$39:$N$39/(1+$A24)^DCF!$E$37:$N$37)+DCF!$N$32*(1+C$19)/($A24-C$19)/(1+$A24)^DCF!$N$37+DCF!$B$58)/DCF!$B$60/DCF!$B$62-1</f>
        <v>-0.553458468230536</v>
      </c>
      <c r="D24" s="28" t="n">
        <f aca="false">(SUMPRODUCT(DCF!$E$39:$N$39/(1+$A24)^DCF!$E$37:$N$37)+DCF!$N$32*(1+D$19)/($A24-D$19)/(1+$A24)^DCF!$N$37+DCF!$B$58)/DCF!$B$60/DCF!$B$62-1</f>
        <v>-0.530766750479427</v>
      </c>
      <c r="E24" s="28" t="n">
        <f aca="false">(SUMPRODUCT(DCF!$E$39:$N$39/(1+$A24)^DCF!$E$37:$N$37)+DCF!$N$32*(1+E$19)/($A24-E$19)/(1+$A24)^DCF!$N$37+DCF!$B$58)/DCF!$B$60/DCF!$B$62-1</f>
        <v>-0.503831622950237</v>
      </c>
      <c r="F24" s="28" t="n">
        <f aca="false">(SUMPRODUCT(DCF!$E$39:$N$39/(1+$A24)^DCF!$E$37:$N$37)+DCF!$N$32*(1+F$19)/($A24-F$19)/(1+$A24)^DCF!$N$37+DCF!$B$58)/DCF!$B$60/DCF!$B$62-1</f>
        <v>-0.471340019384904</v>
      </c>
    </row>
    <row r="27" customFormat="false" ht="15" hidden="false" customHeight="false" outlineLevel="0" collapsed="false">
      <c r="A27" s="3" t="s">
        <v>395</v>
      </c>
      <c r="B27" s="3" t="str">
        <f aca="false">IF(ABS(D13-DCF!B61)&lt;0.5,"OK","ERROR")</f>
        <v>OK</v>
      </c>
    </row>
    <row r="28" customFormat="false" ht="15" hidden="false" customHeight="false" outlineLevel="0" collapsed="false">
      <c r="A28" s="4" t="s">
        <v>396</v>
      </c>
      <c r="B28" s="58" t="n">
        <f aca="false">MIN(C12:E14)</f>
        <v>2308.78450930878</v>
      </c>
    </row>
    <row r="29" customFormat="false" ht="15" hidden="false" customHeight="false" outlineLevel="0" collapsed="false">
      <c r="A29" s="4" t="s">
        <v>397</v>
      </c>
      <c r="B29" s="58" t="n">
        <f aca="false">MAX(C12:E14)</f>
        <v>3270.52327201017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5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398</v>
      </c>
    </row>
    <row r="2" customFormat="false" ht="15" hidden="false" customHeight="false" outlineLevel="0" collapsed="false">
      <c r="A2" s="2" t="s">
        <v>399</v>
      </c>
    </row>
    <row r="4" customFormat="false" ht="15" hidden="false" customHeight="false" outlineLevel="0" collapsed="false">
      <c r="A4" s="16" t="s">
        <v>400</v>
      </c>
      <c r="B4" s="17" t="s">
        <v>401</v>
      </c>
      <c r="C4" s="17" t="s">
        <v>402</v>
      </c>
      <c r="D4" s="17" t="s">
        <v>403</v>
      </c>
      <c r="E4" s="17" t="s">
        <v>404</v>
      </c>
      <c r="F4" s="17" t="s">
        <v>405</v>
      </c>
      <c r="G4" s="17" t="s">
        <v>406</v>
      </c>
    </row>
    <row r="5" customFormat="false" ht="15" hidden="false" customHeight="false" outlineLevel="0" collapsed="false">
      <c r="A5" s="4" t="s">
        <v>407</v>
      </c>
      <c r="B5" s="61" t="n">
        <v>503929</v>
      </c>
      <c r="C5" s="62" t="n">
        <v>32.12</v>
      </c>
      <c r="D5" s="62" t="n">
        <v>9.91</v>
      </c>
      <c r="E5" s="20" t="n">
        <v>0.3107</v>
      </c>
      <c r="F5" s="31" t="n">
        <v>65.66</v>
      </c>
      <c r="G5" s="2" t="s">
        <v>408</v>
      </c>
    </row>
    <row r="6" customFormat="false" ht="15" hidden="false" customHeight="false" outlineLevel="0" collapsed="false">
      <c r="A6" s="4" t="s">
        <v>409</v>
      </c>
      <c r="B6" s="61" t="n">
        <v>154680</v>
      </c>
      <c r="C6" s="62" t="n">
        <v>52.65</v>
      </c>
      <c r="D6" s="62" t="n">
        <v>8.59</v>
      </c>
      <c r="E6" s="20" t="n">
        <v>0.1551</v>
      </c>
      <c r="F6" s="31" t="n">
        <v>7.91</v>
      </c>
      <c r="G6" s="2" t="s">
        <v>408</v>
      </c>
    </row>
    <row r="7" customFormat="false" ht="15" hidden="false" customHeight="false" outlineLevel="0" collapsed="false">
      <c r="A7" s="4" t="s">
        <v>410</v>
      </c>
      <c r="B7" s="61" t="n">
        <v>111116</v>
      </c>
      <c r="C7" s="62" t="n">
        <v>54.34</v>
      </c>
      <c r="D7" s="62" t="n">
        <v>22.74</v>
      </c>
      <c r="E7" s="20" t="n">
        <v>0.443</v>
      </c>
      <c r="F7" s="31" t="n">
        <v>15</v>
      </c>
      <c r="G7" s="2" t="s">
        <v>408</v>
      </c>
    </row>
    <row r="8" customFormat="false" ht="15" hidden="false" customHeight="false" outlineLevel="0" collapsed="false">
      <c r="A8" s="4" t="s">
        <v>411</v>
      </c>
      <c r="B8" s="61" t="n">
        <v>108388</v>
      </c>
      <c r="C8" s="62" t="n">
        <v>54.13</v>
      </c>
      <c r="D8" s="62" t="n">
        <v>7.97</v>
      </c>
      <c r="E8" s="20" t="n">
        <v>0.151</v>
      </c>
      <c r="F8" s="31" t="n">
        <v>14.81</v>
      </c>
      <c r="G8" s="2" t="s">
        <v>408</v>
      </c>
    </row>
    <row r="9" customFormat="false" ht="15" hidden="false" customHeight="false" outlineLevel="0" collapsed="false">
      <c r="A9" s="3" t="s">
        <v>412</v>
      </c>
      <c r="C9" s="63" t="n">
        <f aca="false">MEDIAN(C5:C8)</f>
        <v>53.39</v>
      </c>
      <c r="D9" s="52" t="n">
        <f aca="false">MEDIAN(D5:D8)</f>
        <v>9.25</v>
      </c>
      <c r="E9" s="28" t="n">
        <f aca="false">MEDIAN(E5:E8)</f>
        <v>0.2329</v>
      </c>
    </row>
    <row r="10" customFormat="false" ht="15" hidden="false" customHeight="false" outlineLevel="0" collapsed="false">
      <c r="A10" s="3" t="s">
        <v>413</v>
      </c>
      <c r="C10" s="63" t="n">
        <f aca="false">AVERAGE(C5:C8)</f>
        <v>48.31</v>
      </c>
      <c r="D10" s="52" t="n">
        <f aca="false">AVERAGE(D5:D8)</f>
        <v>12.3025</v>
      </c>
      <c r="E10" s="28" t="n">
        <f aca="false">AVERAGE(E5:E8)</f>
        <v>0.26495</v>
      </c>
    </row>
    <row r="11" customFormat="false" ht="15" hidden="false" customHeight="false" outlineLevel="0" collapsed="false">
      <c r="A11" s="3" t="s">
        <v>414</v>
      </c>
      <c r="C11" s="63" t="n">
        <f aca="false">MAX(C5:C8)</f>
        <v>54.34</v>
      </c>
      <c r="D11" s="52" t="n">
        <f aca="false">MAX(D5:D8)</f>
        <v>22.74</v>
      </c>
      <c r="E11" s="28" t="n">
        <f aca="false">MAX(E5:E8)</f>
        <v>0.443</v>
      </c>
    </row>
    <row r="12" customFormat="false" ht="15" hidden="false" customHeight="false" outlineLevel="0" collapsed="false">
      <c r="A12" s="3" t="s">
        <v>415</v>
      </c>
      <c r="C12" s="63" t="n">
        <f aca="false">MIN(C5:C8)</f>
        <v>32.12</v>
      </c>
      <c r="D12" s="52" t="n">
        <f aca="false">MIN(D5:D8)</f>
        <v>7.97</v>
      </c>
      <c r="E12" s="28" t="n">
        <f aca="false">MIN(E5:E8)</f>
        <v>0.151</v>
      </c>
    </row>
    <row r="14" customFormat="false" ht="15" hidden="false" customHeight="false" outlineLevel="0" collapsed="false">
      <c r="A14" s="4" t="s">
        <v>416</v>
      </c>
      <c r="B14" s="61" t="n">
        <v>129677</v>
      </c>
      <c r="C14" s="62" t="n">
        <v>51.6</v>
      </c>
      <c r="D14" s="62" t="n">
        <v>25.6</v>
      </c>
      <c r="E14" s="20" t="n">
        <v>0.5362</v>
      </c>
      <c r="F14" s="31" t="n">
        <v>106.35</v>
      </c>
      <c r="G14" s="2" t="s">
        <v>408</v>
      </c>
    </row>
    <row r="15" customFormat="false" ht="15" hidden="false" customHeight="false" outlineLevel="0" collapsed="false">
      <c r="A15" s="3" t="s">
        <v>417</v>
      </c>
      <c r="B15" s="11" t="n">
        <f aca="false">DCF!B13</f>
        <v>114764.76</v>
      </c>
      <c r="C15" s="63" t="n">
        <f aca="false">Assumptions!$B$37/Assumptions!$B$46</f>
        <v>44.0662288409953</v>
      </c>
      <c r="E15" s="20" t="n">
        <v>0.535</v>
      </c>
      <c r="F15" s="32" t="n">
        <f aca="false">Assumptions!$B$46</f>
        <v>108.11</v>
      </c>
      <c r="G15" s="2" t="s">
        <v>418</v>
      </c>
    </row>
    <row r="17" customFormat="false" ht="15" hidden="false" customHeight="false" outlineLevel="0" collapsed="false">
      <c r="A17" s="25" t="s">
        <v>419</v>
      </c>
      <c r="B17" s="26"/>
      <c r="C17" s="26"/>
      <c r="D17" s="26"/>
      <c r="E17" s="26"/>
      <c r="F17" s="26"/>
      <c r="G17" s="26"/>
    </row>
    <row r="18" customFormat="false" ht="15" hidden="false" customHeight="false" outlineLevel="0" collapsed="false">
      <c r="B18" s="10" t="s">
        <v>14</v>
      </c>
      <c r="C18" s="10" t="s">
        <v>420</v>
      </c>
      <c r="D18" s="10" t="s">
        <v>15</v>
      </c>
    </row>
    <row r="19" customFormat="false" ht="15" hidden="false" customHeight="false" outlineLevel="0" collapsed="false">
      <c r="A19" s="4" t="s">
        <v>421</v>
      </c>
      <c r="B19" s="52" t="n">
        <f aca="false">C12</f>
        <v>32.12</v>
      </c>
      <c r="C19" s="52" t="n">
        <f aca="false">C9</f>
        <v>53.39</v>
      </c>
      <c r="D19" s="52" t="n">
        <f aca="false">C11</f>
        <v>54.34</v>
      </c>
    </row>
    <row r="20" customFormat="false" ht="15" hidden="false" customHeight="false" outlineLevel="0" collapsed="false">
      <c r="A20" s="3" t="s">
        <v>422</v>
      </c>
      <c r="B20" s="64" t="n">
        <f aca="false">B19*Assumptions!$B$46</f>
        <v>3472.4932</v>
      </c>
      <c r="C20" s="64" t="n">
        <f aca="false">C19*Assumptions!$B$46</f>
        <v>5771.9929</v>
      </c>
      <c r="D20" s="64" t="n">
        <f aca="false">D19*Assumptions!$B$46</f>
        <v>5874.6974</v>
      </c>
    </row>
    <row r="21" customFormat="false" ht="15" hidden="false" customHeight="false" outlineLevel="0" collapsed="false">
      <c r="A21" s="4" t="s">
        <v>423</v>
      </c>
      <c r="B21" s="28" t="n">
        <f aca="false">B20/Assumptions!$B$37-1</f>
        <v>-0.271097145256087</v>
      </c>
      <c r="C21" s="28" t="n">
        <f aca="false">C20/Assumptions!$B$37-1</f>
        <v>0.211585411418976</v>
      </c>
      <c r="D21" s="28" t="n">
        <f aca="false">D20/Assumptions!$B$37-1</f>
        <v>0.233143870696893</v>
      </c>
    </row>
    <row r="23" customFormat="false" ht="15" hidden="false" customHeight="false" outlineLevel="0" collapsed="false">
      <c r="A23" s="3" t="s">
        <v>274</v>
      </c>
    </row>
    <row r="24" customFormat="false" ht="15" hidden="false" customHeight="false" outlineLevel="0" collapsed="false">
      <c r="A24" s="2" t="s">
        <v>424</v>
      </c>
    </row>
    <row r="25" customFormat="false" ht="15" hidden="false" customHeight="false" outlineLevel="0" collapsed="false">
      <c r="A25" s="2" t="s">
        <v>425</v>
      </c>
    </row>
    <row r="26" customFormat="false" ht="15" hidden="false" customHeight="false" outlineLevel="0" collapsed="false">
      <c r="A26" s="2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2026-10-19T17:11:08Z</dcterms:created>
  <dc:creator>openpyxl</dc:creator>
  <dc:description/>
  <dc:language>en-US</dc:language>
  <cp:lastModifiedBy/>
  <dcterms:modified xsi:type="dcterms:W3CDTF">2026-10-19T17:11:09Z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